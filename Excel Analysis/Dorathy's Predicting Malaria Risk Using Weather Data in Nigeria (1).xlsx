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aria_weather_fct.csv" sheetId="1" r:id="rId5"/>
    <sheet state="visible" name="Kogi" sheetId="2" r:id="rId6"/>
    <sheet state="visible" name="Niger" sheetId="3" r:id="rId7"/>
    <sheet state="visible" name="Kaduna" sheetId="4" r:id="rId8"/>
    <sheet state="visible" name="Nasarawa" sheetId="5" r:id="rId9"/>
    <sheet state="visible" name="FCT" sheetId="6" r:id="rId10"/>
    <sheet state="visible" name="Summary Analysis" sheetId="7" r:id="rId11"/>
  </sheets>
  <definedNames/>
  <calcPr/>
</workbook>
</file>

<file path=xl/sharedStrings.xml><?xml version="1.0" encoding="utf-8"?>
<sst xmlns="http://schemas.openxmlformats.org/spreadsheetml/2006/main" count="215" uniqueCount="39">
  <si>
    <t>Location</t>
  </si>
  <si>
    <t>Month</t>
  </si>
  <si>
    <t>Malaria_Cases</t>
  </si>
  <si>
    <t>Avg_Temperature(C)</t>
  </si>
  <si>
    <t>Rainfall(mm)</t>
  </si>
  <si>
    <t>Humidity(%)</t>
  </si>
  <si>
    <t>FCT</t>
  </si>
  <si>
    <t>Nasarawa</t>
  </si>
  <si>
    <t>Kogi</t>
  </si>
  <si>
    <t>Niger</t>
  </si>
  <si>
    <t>Kaduna</t>
  </si>
  <si>
    <t>Analysis</t>
  </si>
  <si>
    <t>Correlation Value</t>
  </si>
  <si>
    <t>Malaria vs Temperature</t>
  </si>
  <si>
    <t>Malaria vs  Rainfall</t>
  </si>
  <si>
    <t>Malaria vs Humidity</t>
  </si>
  <si>
    <t>Summary Analysis</t>
  </si>
  <si>
    <t>Malaria Correlation Summary – Insights</t>
  </si>
  <si>
    <t>State</t>
  </si>
  <si>
    <t>Malaria vs 
Temperature</t>
  </si>
  <si>
    <t>Malaria vs 
Rainfall</t>
  </si>
  <si>
    <t>Malaria vs 
Humidity</t>
  </si>
  <si>
    <t>Temp Corr</t>
  </si>
  <si>
    <t>Rainfall Corr</t>
  </si>
  <si>
    <t>Humidity Corr</t>
  </si>
  <si>
    <t>Key Insight</t>
  </si>
  <si>
    <t>Key Notes:</t>
  </si>
  <si>
    <t>Moderate negative correlation with 
temperature; humidity minimal influence.</t>
  </si>
  <si>
    <t>🟥 Red → Strong negative correlation</t>
  </si>
  <si>
    <t>Malaria cases moderately influenced
 by humidity; temperature and rainfall weak.</t>
  </si>
  <si>
    <t>⬜ White → No/weak correlation (≈ 0)</t>
  </si>
  <si>
    <t>Very strong positive correlation with 
temperature; malaria increases in hotter 
periods.</t>
  </si>
  <si>
    <t>🟩 Green → Strong positive correlation</t>
  </si>
  <si>
    <t>Strong positive correlation with humidity; 
malaria risk rises during humid periods.</t>
  </si>
  <si>
    <t>Weak correlations overall; 
no strong weather predictor identified.</t>
  </si>
  <si>
    <t>The analysis reveals that humidity is the most consistently influential 
weather variable affecting malaria incidence across several states, 
particularly in Kaduna and FCT where moderate positive correlations 
were observed.
Temperature shows a strong and significant relationship with malaria 
cases in Niger State (0.775), indicating that higher temperatures are 
associated with increased malaria incidence in that region.
In contrast, rainfall demonstrates weak and inconsistent correlations 
across most states, suggesting a limited direct impact on 
malaria incidence.</t>
  </si>
  <si>
    <t>This chart shows a strong positive relationship 
between tempreture and malaria cases in Niger State.</t>
  </si>
  <si>
    <t>Here, humidity shows a strong 
influence on malaria incidence in Kaduna</t>
  </si>
  <si>
    <t>Rainfall demonstrates weak and inconsistent 
correlations across the selected states, suggesting 
that its impact on malaria transmission varies and 
may depend on other environmental factors.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</si>
</sst>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13">
    <font>
      <sz val="10.0"/>
      <color rgb="FF000000"/>
      <name val="Arial"/>
      <scheme val="minor"/>
    </font>
    <font>
      <color theme="1"/>
      <name val="Arial"/>
      <scheme val="minor"/>
    </font>
    <font>
      <b/>
      <sz val="15.0"/>
      <color theme="1"/>
      <name val="Arial"/>
    </font>
    <font>
      <b/>
      <color theme="1"/>
      <name val="Arial"/>
      <scheme val="minor"/>
    </font>
    <font>
      <b/>
      <sz val="15.0"/>
      <color theme="1"/>
      <name val="Arial"/>
      <scheme val="minor"/>
    </font>
    <font>
      <b/>
      <sz val="20.0"/>
      <color theme="1"/>
      <name val="Arial"/>
      <scheme val="minor"/>
    </font>
    <font>
      <sz val="11.0"/>
      <color theme="1"/>
      <name val="Arial"/>
      <scheme val="minor"/>
    </font>
    <font>
      <b/>
      <sz val="13.0"/>
      <color theme="1"/>
      <name val="Arial"/>
      <scheme val="minor"/>
    </font>
    <font>
      <b/>
      <sz val="11.0"/>
      <color theme="1"/>
      <name val="Arial"/>
      <scheme val="minor"/>
    </font>
    <font>
      <sz val="13.0"/>
      <color theme="1"/>
      <name val="Arial"/>
      <scheme val="minor"/>
    </font>
    <font>
      <sz val="17.0"/>
      <color theme="1"/>
      <name val="Arial"/>
      <scheme val="minor"/>
    </font>
    <font>
      <sz val="12.0"/>
      <color theme="1"/>
      <name val="Arial"/>
      <scheme val="minor"/>
    </font>
    <font>
      <sz val="15.0"/>
      <color theme="1"/>
      <name val="Arial"/>
      <scheme val="minor"/>
    </font>
  </fonts>
  <fills count="5">
    <fill>
      <patternFill patternType="none"/>
    </fill>
    <fill>
      <patternFill patternType="lightGray"/>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horizontal="left" readingOrder="0" shrinkToFit="0" vertical="bottom"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4" numFmtId="0" xfId="0" applyAlignment="1" applyFont="1">
      <alignment horizontal="left" readingOrder="0" shrinkToFit="0" vertical="center" wrapText="0"/>
    </xf>
    <xf borderId="0" fillId="2" fontId="5" numFmtId="0" xfId="0" applyAlignment="1" applyFill="1" applyFont="1">
      <alignment horizontal="right" readingOrder="0"/>
    </xf>
    <xf borderId="0" fillId="3" fontId="5" numFmtId="0" xfId="0" applyAlignment="1" applyFill="1" applyFont="1">
      <alignment horizontal="left" readingOrder="0"/>
    </xf>
    <xf borderId="0" fillId="0" fontId="6" numFmtId="0" xfId="0" applyFont="1"/>
    <xf borderId="0" fillId="0" fontId="4"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4" fontId="4" numFmtId="0" xfId="0" applyAlignment="1" applyFill="1" applyFont="1">
      <alignment readingOrder="0"/>
    </xf>
    <xf borderId="0" fillId="0" fontId="9" numFmtId="0" xfId="0" applyAlignment="1" applyFont="1">
      <alignment readingOrder="0" shrinkToFit="0" vertical="center" wrapText="0"/>
    </xf>
    <xf borderId="0" fillId="0" fontId="6" numFmtId="0" xfId="0" applyAlignment="1" applyFont="1">
      <alignment readingOrder="0" shrinkToFit="0" vertical="center" wrapText="0"/>
    </xf>
    <xf borderId="0" fillId="0" fontId="10" numFmtId="0" xfId="0" applyFont="1"/>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2"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Kogi-style">
      <tableStyleElement dxfId="1" type="headerRow"/>
      <tableStyleElement dxfId="2" type="firstRowStripe"/>
      <tableStyleElement dxfId="3" type="secondRowStripe"/>
      <tableStyleElement dxfId="4" size="0" type="wholeTable"/>
    </tableStyle>
    <tableStyle count="4" pivot="0" name="Kogi-style 2">
      <tableStyleElement dxfId="1" type="headerRow"/>
      <tableStyleElement dxfId="2" type="firstRowStripe"/>
      <tableStyleElement dxfId="3" type="secondRowStripe"/>
      <tableStyleElement dxfId="4" size="0" type="wholeTable"/>
    </tableStyle>
    <tableStyle count="4" pivot="0" name="Niger-style">
      <tableStyleElement dxfId="1" type="headerRow"/>
      <tableStyleElement dxfId="2" type="firstRowStripe"/>
      <tableStyleElement dxfId="3" type="secondRowStripe"/>
      <tableStyleElement dxfId="4" size="0" type="wholeTable"/>
    </tableStyle>
    <tableStyle count="4" pivot="0" name="Niger-style 2">
      <tableStyleElement dxfId="1" type="headerRow"/>
      <tableStyleElement dxfId="2" type="firstRowStripe"/>
      <tableStyleElement dxfId="3" type="secondRowStripe"/>
      <tableStyleElement dxfId="4" size="0" type="wholeTable"/>
    </tableStyle>
    <tableStyle count="4" pivot="0" name="Kaduna-style">
      <tableStyleElement dxfId="1" type="headerRow"/>
      <tableStyleElement dxfId="2" type="firstRowStripe"/>
      <tableStyleElement dxfId="3" type="secondRowStripe"/>
      <tableStyleElement dxfId="4" size="0" type="wholeTable"/>
    </tableStyle>
    <tableStyle count="4" pivot="0" name="Kaduna-style 2">
      <tableStyleElement dxfId="1" type="headerRow"/>
      <tableStyleElement dxfId="2" type="firstRowStripe"/>
      <tableStyleElement dxfId="3" type="secondRowStripe"/>
      <tableStyleElement dxfId="4" size="0" type="wholeTable"/>
    </tableStyle>
    <tableStyle count="4" pivot="0" name="Nasarawa-style">
      <tableStyleElement dxfId="1" type="headerRow"/>
      <tableStyleElement dxfId="2" type="firstRowStripe"/>
      <tableStyleElement dxfId="3" type="secondRowStripe"/>
      <tableStyleElement dxfId="4" size="0" type="wholeTable"/>
    </tableStyle>
    <tableStyle count="4" pivot="0" name="Nasarawa-style 2">
      <tableStyleElement dxfId="1" type="headerRow"/>
      <tableStyleElement dxfId="2" type="firstRowStripe"/>
      <tableStyleElement dxfId="3" type="secondRowStripe"/>
      <tableStyleElement dxfId="4" size="0" type="wholeTable"/>
    </tableStyle>
    <tableStyle count="4" pivot="0" name="FCT-style">
      <tableStyleElement dxfId="1" type="headerRow"/>
      <tableStyleElement dxfId="2" type="firstRowStripe"/>
      <tableStyleElement dxfId="3" type="secondRowStripe"/>
      <tableStyleElement dxfId="4" size="0" type="wholeTable"/>
    </tableStyle>
    <tableStyle count="4" pivot="0" name="FCT-style 2">
      <tableStyleElement dxfId="1" type="headerRow"/>
      <tableStyleElement dxfId="2" type="firstRowStripe"/>
      <tableStyleElement dxfId="3" type="secondRowStripe"/>
      <tableStyleElement dxfId="4" size="0" type="wholeTable"/>
    </tableStyle>
    <tableStyle count="4" pivot="0" name="Summary Analysis-style">
      <tableStyleElement dxfId="1" type="headerRow"/>
      <tableStyleElement dxfId="2" type="firstRowStripe"/>
      <tableStyleElement dxfId="3" type="secondRowStripe"/>
      <tableStyleElement dxfId="4" size="0" type="wholeTable"/>
    </tableStyle>
    <tableStyle count="4" pivot="0" name="Summary Analysi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Malaria vs Weather Variables (Correlation Analysis)</a:t>
            </a:r>
          </a:p>
        </c:rich>
      </c:tx>
      <c:overlay val="0"/>
    </c:title>
    <c:view3D>
      <c:rotX val="15"/>
      <c:rotY val="20"/>
      <c:depthPercent val="100"/>
      <c:rAngAx val="1"/>
    </c:view3D>
    <c:plotArea>
      <c:layout/>
      <c:bar3DChart>
        <c:barDir val="col"/>
        <c:grouping val="clustered"/>
        <c:ser>
          <c:idx val="0"/>
          <c:order val="0"/>
          <c:tx>
            <c:strRef>
              <c:f>'Summary Analysis'!$G$3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Analysis'!$F$4:$F$8</c:f>
            </c:strRef>
          </c:cat>
          <c:val>
            <c:numRef>
              <c:f>'Summary Analysis'!$G$4:$G$8</c:f>
              <c:numCache/>
            </c:numRef>
          </c:val>
        </c:ser>
        <c:ser>
          <c:idx val="1"/>
          <c:order val="1"/>
          <c:tx>
            <c:strRef>
              <c:f>'Summary Analysis'!$H$3</c:f>
            </c:strRef>
          </c:tx>
          <c:spPr>
            <a:solidFill>
              <a:srgbClr val="66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Analysis'!$F$4:$F$8</c:f>
            </c:strRef>
          </c:cat>
          <c:val>
            <c:numRef>
              <c:f>'Summary Analysis'!$H$4:$H$8</c:f>
              <c:numCache/>
            </c:numRef>
          </c:val>
        </c:ser>
        <c:ser>
          <c:idx val="2"/>
          <c:order val="2"/>
          <c:tx>
            <c:strRef>
              <c:f>'Summary Analysis'!$I$3</c:f>
            </c:strRef>
          </c:tx>
          <c:spPr>
            <a:solidFill>
              <a:srgbClr val="9900F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Analysis'!$F$4:$F$8</c:f>
            </c:strRef>
          </c:cat>
          <c:val>
            <c:numRef>
              <c:f>'Summary Analysis'!$I$4:$I$8</c:f>
              <c:numCache/>
            </c:numRef>
          </c:val>
        </c:ser>
        <c:axId val="758826876"/>
        <c:axId val="5012126"/>
      </c:bar3DChart>
      <c:catAx>
        <c:axId val="758826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cross"/>
        <c:minorTickMark val="none"/>
        <c:spPr/>
        <c:txPr>
          <a:bodyPr/>
          <a:lstStyle/>
          <a:p>
            <a:pPr lvl="0">
              <a:defRPr b="0">
                <a:solidFill>
                  <a:srgbClr val="000000"/>
                </a:solidFill>
                <a:latin typeface="+mn-lt"/>
              </a:defRPr>
            </a:pPr>
          </a:p>
        </c:txPr>
        <c:crossAx val="5012126"/>
      </c:catAx>
      <c:valAx>
        <c:axId val="5012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758826876"/>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Humidity vs Malaria</a:t>
            </a:r>
          </a:p>
        </c:rich>
      </c:tx>
      <c:overlay val="0"/>
    </c:title>
    <c:plotArea>
      <c:layout/>
      <c:scatterChart>
        <c:scatterStyle val="lineMarker"/>
        <c:varyColors val="0"/>
        <c:ser>
          <c:idx val="0"/>
          <c:order val="0"/>
          <c:tx>
            <c:strRef>
              <c:f>'Summary Analysis'!$I$3</c:f>
            </c:strRef>
          </c:tx>
          <c:spPr>
            <a:ln>
              <a:noFill/>
            </a:ln>
          </c:spPr>
          <c:marker>
            <c:symbol val="circle"/>
            <c:size val="7"/>
            <c:spPr>
              <a:solidFill>
                <a:srgbClr val="9900FF"/>
              </a:solidFill>
              <a:ln cmpd="sng">
                <a:solidFill>
                  <a:srgbClr val="9900FF"/>
                </a:solidFill>
              </a:ln>
            </c:spPr>
          </c:marker>
          <c:yVal>
            <c:numRef>
              <c:f>'Summary Analysis'!$I$4:$I$8</c:f>
              <c:numCache/>
            </c:numRef>
          </c:yVal>
        </c:ser>
        <c:dLbls>
          <c:showLegendKey val="0"/>
          <c:showVal val="0"/>
          <c:showCatName val="0"/>
          <c:showSerName val="0"/>
          <c:showPercent val="0"/>
          <c:showBubbleSize val="0"/>
        </c:dLbls>
        <c:axId val="2103889305"/>
        <c:axId val="1565737360"/>
      </c:scatterChart>
      <c:valAx>
        <c:axId val="21038893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5737360"/>
      </c:valAx>
      <c:valAx>
        <c:axId val="1565737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Humidity Corr</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103889305"/>
      </c:valAx>
    </c:plotArea>
    <c:legend>
      <c:legendPos val="r"/>
      <c:overlay val="0"/>
      <c:txPr>
        <a:bodyPr/>
        <a:lstStyle/>
        <a:p>
          <a:pPr lvl="0">
            <a:defRPr b="0">
              <a:solidFill>
                <a:srgbClr val="1A1A1A"/>
              </a:solidFill>
              <a:latin typeface="+mn-lt"/>
            </a:defRPr>
          </a:pPr>
        </a:p>
      </c:txPr>
    </c:legend>
    <c:plotVisOnly val="1"/>
  </c:chart>
  <c:spPr>
    <a:solidFill>
      <a:srgbClr val="C9DAF8"/>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Temperature vs Malaria</a:t>
            </a:r>
          </a:p>
        </c:rich>
      </c:tx>
      <c:overlay val="0"/>
    </c:title>
    <c:plotArea>
      <c:layout/>
      <c:scatterChart>
        <c:scatterStyle val="lineMarker"/>
        <c:varyColors val="0"/>
        <c:ser>
          <c:idx val="0"/>
          <c:order val="0"/>
          <c:tx>
            <c:strRef>
              <c:f>'Summary Analysis'!$G$3</c:f>
            </c:strRef>
          </c:tx>
          <c:spPr>
            <a:ln>
              <a:noFill/>
            </a:ln>
          </c:spPr>
          <c:marker>
            <c:symbol val="circle"/>
            <c:size val="7"/>
            <c:spPr>
              <a:solidFill>
                <a:srgbClr val="6AA84F"/>
              </a:solidFill>
              <a:ln cmpd="sng">
                <a:solidFill>
                  <a:srgbClr val="6AA84F"/>
                </a:solidFill>
              </a:ln>
            </c:spPr>
          </c:marker>
          <c:yVal>
            <c:numRef>
              <c:f>'Summary Analysis'!$G$4:$G$8</c:f>
              <c:numCache/>
            </c:numRef>
          </c:yVal>
        </c:ser>
        <c:dLbls>
          <c:showLegendKey val="0"/>
          <c:showVal val="0"/>
          <c:showCatName val="0"/>
          <c:showSerName val="0"/>
          <c:showPercent val="0"/>
          <c:showBubbleSize val="0"/>
        </c:dLbls>
        <c:axId val="387681055"/>
        <c:axId val="1106722693"/>
      </c:scatterChart>
      <c:valAx>
        <c:axId val="3876810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6722693"/>
      </c:valAx>
      <c:valAx>
        <c:axId val="1106722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387681055"/>
      </c:valAx>
    </c:plotArea>
    <c:legend>
      <c:legendPos val="r"/>
      <c:overlay val="0"/>
      <c:txPr>
        <a:bodyPr/>
        <a:lstStyle/>
        <a:p>
          <a:pPr lvl="0">
            <a:defRPr b="0">
              <a:solidFill>
                <a:srgbClr val="1A1A1A"/>
              </a:solidFill>
              <a:latin typeface="+mn-lt"/>
            </a:defRPr>
          </a:pPr>
        </a:p>
      </c:txPr>
    </c:legend>
    <c:plotVisOnly val="1"/>
  </c:chart>
  <c:spPr>
    <a:solidFill>
      <a:srgbClr val="F4CCCC"/>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11</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11</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952500</xdr:colOff>
      <xdr:row>11</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171450</xdr:colOff>
      <xdr:row>11</xdr:row>
      <xdr:rowOff>66675</xdr:rowOff>
    </xdr:from>
    <xdr:ext cx="5715000" cy="3533775"/>
    <xdr:pic>
      <xdr:nvPicPr>
        <xdr:cNvPr id="158241238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Kogi_State" name="Kogi_State" id="1">
  <tableColumns count="6">
    <tableColumn name="Location" id="1"/>
    <tableColumn name="Month" id="2"/>
    <tableColumn name="Malaria_Cases" id="3"/>
    <tableColumn name="Avg_Temperature(C)" id="4"/>
    <tableColumn name="Rainfall(mm)" id="5"/>
    <tableColumn name="Humidity(%)" id="6"/>
  </tableColumns>
  <tableStyleInfo name="Kogi-style" showColumnStripes="0" showFirstColumn="1" showLastColumn="1" showRowStripes="1"/>
</table>
</file>

<file path=xl/tables/table2.xml><?xml version="1.0" encoding="utf-8"?>
<table xmlns="http://schemas.openxmlformats.org/spreadsheetml/2006/main" ref="H3:I6" displayName="Kogi" name="Kogi" id="2">
  <tableColumns count="2">
    <tableColumn name="Analysis" id="1"/>
    <tableColumn name="Correlation Value" id="2"/>
  </tableColumns>
  <tableStyleInfo name="Kogi-style 2" showColumnStripes="0" showFirstColumn="1" showLastColumn="1" showRowStripes="1"/>
</table>
</file>

<file path=xl/tables/table3.xml><?xml version="1.0" encoding="utf-8"?>
<table xmlns="http://schemas.openxmlformats.org/spreadsheetml/2006/main" ref="A1:F13" displayName="Niger_State" name="Niger_State" id="3">
  <tableColumns count="6">
    <tableColumn name="Location" id="1"/>
    <tableColumn name="Month" id="2"/>
    <tableColumn name="Malaria_Cases" id="3"/>
    <tableColumn name="Avg_Temperature(C)" id="4"/>
    <tableColumn name="Rainfall(mm)" id="5"/>
    <tableColumn name="Humidity(%)" id="6"/>
  </tableColumns>
  <tableStyleInfo name="Niger-style" showColumnStripes="0" showFirstColumn="1" showLastColumn="1" showRowStripes="1"/>
</table>
</file>

<file path=xl/tables/table4.xml><?xml version="1.0" encoding="utf-8"?>
<table xmlns="http://schemas.openxmlformats.org/spreadsheetml/2006/main" ref="H4:I7" displayName="Niger" name="Niger" id="4">
  <tableColumns count="2">
    <tableColumn name="Analysis" id="1"/>
    <tableColumn name="Correlation Value" id="2"/>
  </tableColumns>
  <tableStyleInfo name="Niger-style 2" showColumnStripes="0" showFirstColumn="1" showLastColumn="1" showRowStripes="1"/>
</table>
</file>

<file path=xl/tables/table5.xml><?xml version="1.0" encoding="utf-8"?>
<table xmlns="http://schemas.openxmlformats.org/spreadsheetml/2006/main" ref="A1:F13" displayName="_Kaduna_State" name="_Kaduna_State" id="5">
  <tableColumns count="6">
    <tableColumn name="Location" id="1"/>
    <tableColumn name="Month" id="2"/>
    <tableColumn name="Malaria_Cases" id="3"/>
    <tableColumn name="Avg_Temperature(C)" id="4"/>
    <tableColumn name="Rainfall(mm)" id="5"/>
    <tableColumn name="Humidity(%)" id="6"/>
  </tableColumns>
  <tableStyleInfo name="Kaduna-style" showColumnStripes="0" showFirstColumn="1" showLastColumn="1" showRowStripes="1"/>
</table>
</file>

<file path=xl/tables/table6.xml><?xml version="1.0" encoding="utf-8"?>
<table xmlns="http://schemas.openxmlformats.org/spreadsheetml/2006/main" ref="H5:I8" displayName="Kaduna" name="Kaduna" id="6">
  <tableColumns count="2">
    <tableColumn name="Analysis" id="1"/>
    <tableColumn name="Correlation Value" id="2"/>
  </tableColumns>
  <tableStyleInfo name="Kaduna-style 2" showColumnStripes="0" showFirstColumn="1" showLastColumn="1" showRowStripes="1"/>
</table>
</file>

<file path=xl/tables/table7.xml><?xml version="1.0" encoding="utf-8"?>
<table xmlns="http://schemas.openxmlformats.org/spreadsheetml/2006/main" ref="A1:F13" displayName="Nasarawa_State" name="Nasarawa_State" id="7">
  <tableColumns count="6">
    <tableColumn name="Location" id="1"/>
    <tableColumn name="Month" id="2"/>
    <tableColumn name="Malaria_Cases" id="3"/>
    <tableColumn name="Avg_Temperature(C)" id="4"/>
    <tableColumn name="Rainfall(mm)" id="5"/>
    <tableColumn name="Humidity(%)" id="6"/>
  </tableColumns>
  <tableStyleInfo name="Nasarawa-style" showColumnStripes="0" showFirstColumn="1" showLastColumn="1" showRowStripes="1"/>
</table>
</file>

<file path=xl/tables/table8.xml><?xml version="1.0" encoding="utf-8"?>
<table xmlns="http://schemas.openxmlformats.org/spreadsheetml/2006/main" ref="H5:I8" displayName="Nasarawa" name="Nasarawa" id="8">
  <tableColumns count="2">
    <tableColumn name="Analysis" id="1"/>
    <tableColumn name="Correlation Value" id="2"/>
  </tableColumns>
  <tableStyleInfo name="Nasarawa-style 2" showColumnStripes="0" showFirstColumn="1" showLastColumn="1" showRowStripes="1"/>
</table>
</file>

<file path=xl/tables/table9.xml><?xml version="1.0" encoding="utf-8"?>
<table xmlns="http://schemas.openxmlformats.org/spreadsheetml/2006/main" ref="A1:F13" displayName="FCT_Abuja" name="FCT_Abuja" id="9">
  <tableColumns count="6">
    <tableColumn name="Location" id="1"/>
    <tableColumn name="Month" id="2"/>
    <tableColumn name="Malaria_Cases" id="3"/>
    <tableColumn name="Avg_Temperature(C)" id="4"/>
    <tableColumn name="Rainfall(mm)" id="5"/>
    <tableColumn name="Humidity(%)" id="6"/>
  </tableColumns>
  <tableStyleInfo name="FCT-style" showColumnStripes="0" showFirstColumn="1" showLastColumn="1" showRowStripes="1"/>
</table>
</file>

<file path=xl/tables/table10.xml><?xml version="1.0" encoding="utf-8"?>
<table xmlns="http://schemas.openxmlformats.org/spreadsheetml/2006/main" ref="H3:I6" displayName="FCT" name="FCT" id="10">
  <tableColumns count="2">
    <tableColumn name="Analysis" id="1"/>
    <tableColumn name="Correlation Value" id="2"/>
  </tableColumns>
  <tableStyleInfo name="FCT-style 2" showColumnStripes="0" showFirstColumn="1" showLastColumn="1" showRowStripes="1"/>
</table>
</file>

<file path=xl/tables/table11.xml><?xml version="1.0" encoding="utf-8"?>
<table xmlns="http://schemas.openxmlformats.org/spreadsheetml/2006/main" ref="A3:D8" displayName="Dashboard" name="Dashboard" id="11">
  <tableColumns count="4">
    <tableColumn name="State" id="1"/>
    <tableColumn name="Malaria vs _x000a_Temperature" id="2"/>
    <tableColumn name="Malaria vs _x000a_Rainfall" id="3"/>
    <tableColumn name="Malaria vs _x000a_Humidity" id="4"/>
  </tableColumns>
  <tableStyleInfo name="Summary Analysis-style" showColumnStripes="0" showFirstColumn="1" showLastColumn="1" showRowStripes="1"/>
</table>
</file>

<file path=xl/tables/table12.xml><?xml version="1.0" encoding="utf-8"?>
<table xmlns="http://schemas.openxmlformats.org/spreadsheetml/2006/main" ref="F3:J8" displayName="Summary_Table_Layout" name="Summary_Table_Layout" id="12">
  <tableColumns count="5">
    <tableColumn name="State" id="1"/>
    <tableColumn name="Temp Corr" id="2"/>
    <tableColumn name="Rainfall Corr" id="3"/>
    <tableColumn name="Humidity Corr" id="4"/>
    <tableColumn name="Key Insight" id="5"/>
  </tableColumns>
  <tableStyleInfo name="Summary Analys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7.xml"/><Relationship Id="rId5"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9.xml"/><Relationship Id="rId5"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38"/>
  </cols>
  <sheetData>
    <row r="1">
      <c r="A1" s="1" t="s">
        <v>0</v>
      </c>
      <c r="B1" s="1" t="s">
        <v>1</v>
      </c>
      <c r="C1" s="1" t="s">
        <v>2</v>
      </c>
      <c r="D1" s="1" t="s">
        <v>3</v>
      </c>
      <c r="E1" s="1" t="s">
        <v>4</v>
      </c>
      <c r="F1" s="1" t="s">
        <v>5</v>
      </c>
    </row>
    <row r="2">
      <c r="A2" s="1" t="s">
        <v>6</v>
      </c>
      <c r="B2" s="2">
        <v>44927.0</v>
      </c>
      <c r="C2" s="1">
        <v>429.0</v>
      </c>
      <c r="D2" s="1">
        <v>31.5</v>
      </c>
      <c r="E2" s="1">
        <v>247.0</v>
      </c>
      <c r="F2" s="1">
        <v>61.5</v>
      </c>
    </row>
    <row r="3">
      <c r="A3" s="1" t="s">
        <v>6</v>
      </c>
      <c r="B3" s="2">
        <v>44958.0</v>
      </c>
      <c r="C3" s="1">
        <v>594.0</v>
      </c>
      <c r="D3" s="1">
        <v>31.6</v>
      </c>
      <c r="E3" s="1">
        <v>307.8</v>
      </c>
      <c r="F3" s="1">
        <v>81.2</v>
      </c>
    </row>
    <row r="4">
      <c r="A4" s="1" t="s">
        <v>6</v>
      </c>
      <c r="B4" s="2">
        <v>44986.0</v>
      </c>
      <c r="C4" s="1">
        <v>209.0</v>
      </c>
      <c r="D4" s="1">
        <v>28.0</v>
      </c>
      <c r="E4" s="1">
        <v>333.3</v>
      </c>
      <c r="F4" s="1">
        <v>65.2</v>
      </c>
    </row>
    <row r="5">
      <c r="A5" s="1" t="s">
        <v>6</v>
      </c>
      <c r="B5" s="2">
        <v>45017.0</v>
      </c>
      <c r="C5" s="1">
        <v>437.0</v>
      </c>
      <c r="D5" s="1">
        <v>24.2</v>
      </c>
      <c r="E5" s="1">
        <v>235.3</v>
      </c>
      <c r="F5" s="1">
        <v>87.6</v>
      </c>
    </row>
    <row r="6">
      <c r="A6" s="1" t="s">
        <v>6</v>
      </c>
      <c r="B6" s="2">
        <v>45047.0</v>
      </c>
      <c r="C6" s="1">
        <v>242.0</v>
      </c>
      <c r="D6" s="1">
        <v>30.8</v>
      </c>
      <c r="E6" s="1">
        <v>241.5</v>
      </c>
      <c r="F6" s="1">
        <v>77.4</v>
      </c>
    </row>
    <row r="7">
      <c r="A7" s="1" t="s">
        <v>6</v>
      </c>
      <c r="B7" s="2">
        <v>45078.0</v>
      </c>
      <c r="C7" s="1">
        <v>271.0</v>
      </c>
      <c r="D7" s="1">
        <v>30.3</v>
      </c>
      <c r="E7" s="1">
        <v>102.2</v>
      </c>
      <c r="F7" s="1">
        <v>72.3</v>
      </c>
    </row>
    <row r="8">
      <c r="A8" s="1" t="s">
        <v>6</v>
      </c>
      <c r="B8" s="2">
        <v>45108.0</v>
      </c>
      <c r="C8" s="1">
        <v>593.0</v>
      </c>
      <c r="D8" s="1">
        <v>26.4</v>
      </c>
      <c r="E8" s="1">
        <v>101.7</v>
      </c>
      <c r="F8" s="1">
        <v>87.1</v>
      </c>
    </row>
    <row r="9">
      <c r="A9" s="1" t="s">
        <v>6</v>
      </c>
      <c r="B9" s="2">
        <v>45139.0</v>
      </c>
      <c r="C9" s="1">
        <v>281.0</v>
      </c>
      <c r="D9" s="1">
        <v>29.1</v>
      </c>
      <c r="E9" s="1">
        <v>149.9</v>
      </c>
      <c r="F9" s="1">
        <v>65.7</v>
      </c>
    </row>
    <row r="10">
      <c r="A10" s="1" t="s">
        <v>6</v>
      </c>
      <c r="B10" s="2">
        <v>45170.0</v>
      </c>
      <c r="C10" s="1">
        <v>422.0</v>
      </c>
      <c r="D10" s="1">
        <v>31.5</v>
      </c>
      <c r="E10" s="1">
        <v>69.7</v>
      </c>
      <c r="F10" s="1">
        <v>72.1</v>
      </c>
    </row>
    <row r="11">
      <c r="A11" s="1" t="s">
        <v>6</v>
      </c>
      <c r="B11" s="3">
        <v>45200.0</v>
      </c>
      <c r="C11" s="1">
        <v>311.0</v>
      </c>
      <c r="D11" s="1">
        <v>28.3</v>
      </c>
      <c r="E11" s="1">
        <v>287.3</v>
      </c>
      <c r="F11" s="1">
        <v>64.2</v>
      </c>
    </row>
    <row r="12">
      <c r="A12" s="1" t="s">
        <v>6</v>
      </c>
      <c r="B12" s="3">
        <v>45231.0</v>
      </c>
      <c r="C12" s="1">
        <v>260.0</v>
      </c>
      <c r="D12" s="1">
        <v>28.3</v>
      </c>
      <c r="E12" s="1">
        <v>54.4</v>
      </c>
      <c r="F12" s="1">
        <v>85.0</v>
      </c>
    </row>
    <row r="13">
      <c r="A13" s="1" t="s">
        <v>6</v>
      </c>
      <c r="B13" s="3">
        <v>45261.0</v>
      </c>
      <c r="C13" s="1">
        <v>289.0</v>
      </c>
      <c r="D13" s="1">
        <v>28.3</v>
      </c>
      <c r="E13" s="1">
        <v>183.3</v>
      </c>
      <c r="F13" s="1">
        <v>68.5</v>
      </c>
    </row>
    <row r="14">
      <c r="A14" s="1" t="s">
        <v>7</v>
      </c>
      <c r="B14" s="2">
        <v>44927.0</v>
      </c>
      <c r="C14" s="1">
        <v>198.0</v>
      </c>
      <c r="D14" s="1">
        <v>28.8</v>
      </c>
      <c r="E14" s="1">
        <v>303.0</v>
      </c>
      <c r="F14" s="1">
        <v>83.9</v>
      </c>
    </row>
    <row r="15">
      <c r="A15" s="1" t="s">
        <v>7</v>
      </c>
      <c r="B15" s="2">
        <v>44958.0</v>
      </c>
      <c r="C15" s="1">
        <v>194.0</v>
      </c>
      <c r="D15" s="1">
        <v>27.8</v>
      </c>
      <c r="E15" s="1">
        <v>92.6</v>
      </c>
      <c r="F15" s="1">
        <v>77.8</v>
      </c>
    </row>
    <row r="16">
      <c r="A16" s="1" t="s">
        <v>7</v>
      </c>
      <c r="B16" s="2">
        <v>44986.0</v>
      </c>
      <c r="C16" s="1">
        <v>253.0</v>
      </c>
      <c r="D16" s="1">
        <v>24.2</v>
      </c>
      <c r="E16" s="1">
        <v>42.2</v>
      </c>
      <c r="F16" s="1">
        <v>63.0</v>
      </c>
    </row>
    <row r="17">
      <c r="A17" s="1" t="s">
        <v>7</v>
      </c>
      <c r="B17" s="2">
        <v>45017.0</v>
      </c>
      <c r="C17" s="1">
        <v>275.0</v>
      </c>
      <c r="D17" s="1">
        <v>31.5</v>
      </c>
      <c r="E17" s="1">
        <v>191.7</v>
      </c>
      <c r="F17" s="1">
        <v>72.1</v>
      </c>
    </row>
    <row r="18">
      <c r="A18" s="1" t="s">
        <v>7</v>
      </c>
      <c r="B18" s="2">
        <v>45047.0</v>
      </c>
      <c r="C18" s="1">
        <v>478.0</v>
      </c>
      <c r="D18" s="1">
        <v>31.9</v>
      </c>
      <c r="E18" s="1">
        <v>162.7</v>
      </c>
      <c r="F18" s="1">
        <v>81.1</v>
      </c>
    </row>
    <row r="19">
      <c r="A19" s="1" t="s">
        <v>7</v>
      </c>
      <c r="B19" s="2">
        <v>45078.0</v>
      </c>
      <c r="C19" s="1">
        <v>296.0</v>
      </c>
      <c r="D19" s="1">
        <v>31.5</v>
      </c>
      <c r="E19" s="1">
        <v>324.9</v>
      </c>
      <c r="F19" s="1">
        <v>82.9</v>
      </c>
    </row>
    <row r="20">
      <c r="A20" s="1" t="s">
        <v>7</v>
      </c>
      <c r="B20" s="2">
        <v>45108.0</v>
      </c>
      <c r="C20" s="1">
        <v>396.0</v>
      </c>
      <c r="D20" s="1">
        <v>30.1</v>
      </c>
      <c r="E20" s="1">
        <v>38.7</v>
      </c>
      <c r="F20" s="1">
        <v>73.9</v>
      </c>
    </row>
    <row r="21">
      <c r="A21" s="1" t="s">
        <v>7</v>
      </c>
      <c r="B21" s="2">
        <v>45139.0</v>
      </c>
      <c r="C21" s="1">
        <v>592.0</v>
      </c>
      <c r="D21" s="1">
        <v>29.7</v>
      </c>
      <c r="E21" s="1">
        <v>235.7</v>
      </c>
      <c r="F21" s="1">
        <v>80.0</v>
      </c>
    </row>
    <row r="22">
      <c r="A22" s="1" t="s">
        <v>7</v>
      </c>
      <c r="B22" s="2">
        <v>45170.0</v>
      </c>
      <c r="C22" s="1">
        <v>284.0</v>
      </c>
      <c r="D22" s="1">
        <v>28.2</v>
      </c>
      <c r="E22" s="1">
        <v>103.8</v>
      </c>
      <c r="F22" s="1">
        <v>88.4</v>
      </c>
    </row>
    <row r="23">
      <c r="A23" s="1" t="s">
        <v>7</v>
      </c>
      <c r="B23" s="3">
        <v>45200.0</v>
      </c>
      <c r="C23" s="1">
        <v>360.0</v>
      </c>
      <c r="D23" s="1">
        <v>28.1</v>
      </c>
      <c r="E23" s="1">
        <v>255.6</v>
      </c>
      <c r="F23" s="1">
        <v>72.3</v>
      </c>
    </row>
    <row r="24">
      <c r="A24" s="1" t="s">
        <v>7</v>
      </c>
      <c r="B24" s="3">
        <v>45231.0</v>
      </c>
      <c r="C24" s="1">
        <v>184.0</v>
      </c>
      <c r="D24" s="1">
        <v>30.3</v>
      </c>
      <c r="E24" s="1">
        <v>348.4</v>
      </c>
      <c r="F24" s="1">
        <v>78.3</v>
      </c>
    </row>
    <row r="25">
      <c r="A25" s="1" t="s">
        <v>7</v>
      </c>
      <c r="B25" s="3">
        <v>45261.0</v>
      </c>
      <c r="C25" s="1">
        <v>504.0</v>
      </c>
      <c r="D25" s="1">
        <v>26.3</v>
      </c>
      <c r="E25" s="1">
        <v>222.8</v>
      </c>
      <c r="F25" s="1">
        <v>80.5</v>
      </c>
    </row>
    <row r="26">
      <c r="A26" s="1" t="s">
        <v>8</v>
      </c>
      <c r="B26" s="2">
        <v>44927.0</v>
      </c>
      <c r="C26" s="1">
        <v>288.0</v>
      </c>
      <c r="D26" s="1">
        <v>30.7</v>
      </c>
      <c r="E26" s="1">
        <v>148.8</v>
      </c>
      <c r="F26" s="1">
        <v>83.0</v>
      </c>
    </row>
    <row r="27">
      <c r="A27" s="1" t="s">
        <v>8</v>
      </c>
      <c r="B27" s="2">
        <v>44958.0</v>
      </c>
      <c r="C27" s="1">
        <v>421.0</v>
      </c>
      <c r="D27" s="1">
        <v>26.7</v>
      </c>
      <c r="E27" s="1">
        <v>294.6</v>
      </c>
      <c r="F27" s="1">
        <v>69.4</v>
      </c>
    </row>
    <row r="28">
      <c r="A28" s="1" t="s">
        <v>8</v>
      </c>
      <c r="B28" s="2">
        <v>44986.0</v>
      </c>
      <c r="C28" s="1">
        <v>378.0</v>
      </c>
      <c r="D28" s="1">
        <v>29.5</v>
      </c>
      <c r="E28" s="1">
        <v>136.4</v>
      </c>
      <c r="F28" s="1">
        <v>74.3</v>
      </c>
    </row>
    <row r="29">
      <c r="A29" s="1" t="s">
        <v>8</v>
      </c>
      <c r="B29" s="2">
        <v>45017.0</v>
      </c>
      <c r="C29" s="1">
        <v>585.0</v>
      </c>
      <c r="D29" s="1">
        <v>26.0</v>
      </c>
      <c r="E29" s="1">
        <v>55.3</v>
      </c>
      <c r="F29" s="1">
        <v>66.1</v>
      </c>
    </row>
    <row r="30">
      <c r="A30" s="1" t="s">
        <v>8</v>
      </c>
      <c r="B30" s="2">
        <v>45047.0</v>
      </c>
      <c r="C30" s="1">
        <v>501.0</v>
      </c>
      <c r="D30" s="1">
        <v>28.0</v>
      </c>
      <c r="E30" s="1">
        <v>297.3</v>
      </c>
      <c r="F30" s="1">
        <v>62.7</v>
      </c>
    </row>
    <row r="31">
      <c r="A31" s="1" t="s">
        <v>8</v>
      </c>
      <c r="B31" s="2">
        <v>45078.0</v>
      </c>
      <c r="C31" s="1">
        <v>584.0</v>
      </c>
      <c r="D31" s="1">
        <v>28.2</v>
      </c>
      <c r="E31" s="1">
        <v>64.4</v>
      </c>
      <c r="F31" s="1">
        <v>66.0</v>
      </c>
    </row>
    <row r="32">
      <c r="A32" s="1" t="s">
        <v>8</v>
      </c>
      <c r="B32" s="2">
        <v>45108.0</v>
      </c>
      <c r="C32" s="1">
        <v>568.0</v>
      </c>
      <c r="D32" s="1">
        <v>25.0</v>
      </c>
      <c r="E32" s="1">
        <v>181.0</v>
      </c>
      <c r="F32" s="1">
        <v>85.4</v>
      </c>
    </row>
    <row r="33">
      <c r="A33" s="1" t="s">
        <v>8</v>
      </c>
      <c r="B33" s="2">
        <v>45139.0</v>
      </c>
      <c r="C33" s="1">
        <v>592.0</v>
      </c>
      <c r="D33" s="1">
        <v>24.4</v>
      </c>
      <c r="E33" s="1">
        <v>229.2</v>
      </c>
      <c r="F33" s="1">
        <v>86.7</v>
      </c>
    </row>
    <row r="34">
      <c r="A34" s="1" t="s">
        <v>8</v>
      </c>
      <c r="B34" s="2">
        <v>45170.0</v>
      </c>
      <c r="C34" s="1">
        <v>547.0</v>
      </c>
      <c r="D34" s="1">
        <v>24.3</v>
      </c>
      <c r="E34" s="1">
        <v>127.4</v>
      </c>
      <c r="F34" s="1">
        <v>63.5</v>
      </c>
    </row>
    <row r="35">
      <c r="A35" s="1" t="s">
        <v>8</v>
      </c>
      <c r="B35" s="3">
        <v>45200.0</v>
      </c>
      <c r="C35" s="1">
        <v>322.0</v>
      </c>
      <c r="D35" s="1">
        <v>30.9</v>
      </c>
      <c r="E35" s="1">
        <v>260.3</v>
      </c>
      <c r="F35" s="1">
        <v>65.9</v>
      </c>
    </row>
    <row r="36">
      <c r="A36" s="1" t="s">
        <v>8</v>
      </c>
      <c r="B36" s="3">
        <v>45231.0</v>
      </c>
      <c r="C36" s="1">
        <v>334.0</v>
      </c>
      <c r="D36" s="1">
        <v>26.9</v>
      </c>
      <c r="E36" s="1">
        <v>163.3</v>
      </c>
      <c r="F36" s="1">
        <v>60.2</v>
      </c>
    </row>
    <row r="37">
      <c r="A37" s="1" t="s">
        <v>8</v>
      </c>
      <c r="B37" s="3">
        <v>45261.0</v>
      </c>
      <c r="C37" s="1">
        <v>189.0</v>
      </c>
      <c r="D37" s="1">
        <v>25.6</v>
      </c>
      <c r="E37" s="1">
        <v>197.7</v>
      </c>
      <c r="F37" s="1">
        <v>71.3</v>
      </c>
    </row>
    <row r="38">
      <c r="A38" s="1" t="s">
        <v>9</v>
      </c>
      <c r="B38" s="2">
        <v>44927.0</v>
      </c>
      <c r="C38" s="1">
        <v>269.0</v>
      </c>
      <c r="D38" s="1">
        <v>27.5</v>
      </c>
      <c r="E38" s="1">
        <v>280.6</v>
      </c>
      <c r="F38" s="1">
        <v>78.4</v>
      </c>
    </row>
    <row r="39">
      <c r="A39" s="1" t="s">
        <v>9</v>
      </c>
      <c r="B39" s="2">
        <v>44958.0</v>
      </c>
      <c r="C39" s="1">
        <v>324.0</v>
      </c>
      <c r="D39" s="1">
        <v>27.7</v>
      </c>
      <c r="E39" s="1">
        <v>332.8</v>
      </c>
      <c r="F39" s="1">
        <v>78.9</v>
      </c>
    </row>
    <row r="40">
      <c r="A40" s="1" t="s">
        <v>9</v>
      </c>
      <c r="B40" s="2">
        <v>44986.0</v>
      </c>
      <c r="C40" s="1">
        <v>349.0</v>
      </c>
      <c r="D40" s="1">
        <v>31.4</v>
      </c>
      <c r="E40" s="1">
        <v>192.0</v>
      </c>
      <c r="F40" s="1">
        <v>64.0</v>
      </c>
    </row>
    <row r="41">
      <c r="A41" s="1" t="s">
        <v>9</v>
      </c>
      <c r="B41" s="2">
        <v>45017.0</v>
      </c>
      <c r="C41" s="1">
        <v>371.0</v>
      </c>
      <c r="D41" s="1">
        <v>28.7</v>
      </c>
      <c r="E41" s="1">
        <v>61.6</v>
      </c>
      <c r="F41" s="1">
        <v>60.3</v>
      </c>
    </row>
    <row r="42">
      <c r="A42" s="1" t="s">
        <v>9</v>
      </c>
      <c r="B42" s="2">
        <v>45047.0</v>
      </c>
      <c r="C42" s="1">
        <v>347.0</v>
      </c>
      <c r="D42" s="1">
        <v>31.2</v>
      </c>
      <c r="E42" s="1">
        <v>277.0</v>
      </c>
      <c r="F42" s="1">
        <v>81.3</v>
      </c>
    </row>
    <row r="43">
      <c r="A43" s="1" t="s">
        <v>9</v>
      </c>
      <c r="B43" s="2">
        <v>45078.0</v>
      </c>
      <c r="C43" s="1">
        <v>311.0</v>
      </c>
      <c r="D43" s="1">
        <v>26.4</v>
      </c>
      <c r="E43" s="1">
        <v>124.4</v>
      </c>
      <c r="F43" s="1">
        <v>81.9</v>
      </c>
    </row>
    <row r="44">
      <c r="A44" s="1" t="s">
        <v>9</v>
      </c>
      <c r="B44" s="2">
        <v>45108.0</v>
      </c>
      <c r="C44" s="1">
        <v>248.0</v>
      </c>
      <c r="D44" s="1">
        <v>26.0</v>
      </c>
      <c r="E44" s="1">
        <v>204.0</v>
      </c>
      <c r="F44" s="1">
        <v>63.0</v>
      </c>
    </row>
    <row r="45">
      <c r="A45" s="1" t="s">
        <v>9</v>
      </c>
      <c r="B45" s="2">
        <v>45139.0</v>
      </c>
      <c r="C45" s="1">
        <v>516.0</v>
      </c>
      <c r="D45" s="1">
        <v>30.2</v>
      </c>
      <c r="E45" s="1">
        <v>146.2</v>
      </c>
      <c r="F45" s="1">
        <v>69.6</v>
      </c>
    </row>
    <row r="46">
      <c r="A46" s="1" t="s">
        <v>9</v>
      </c>
      <c r="B46" s="2">
        <v>45170.0</v>
      </c>
      <c r="C46" s="1">
        <v>265.0</v>
      </c>
      <c r="D46" s="1">
        <v>24.3</v>
      </c>
      <c r="E46" s="1">
        <v>85.8</v>
      </c>
      <c r="F46" s="1">
        <v>71.1</v>
      </c>
    </row>
    <row r="47">
      <c r="A47" s="1" t="s">
        <v>9</v>
      </c>
      <c r="B47" s="3">
        <v>45200.0</v>
      </c>
      <c r="C47" s="1">
        <v>158.0</v>
      </c>
      <c r="D47" s="1">
        <v>24.3</v>
      </c>
      <c r="E47" s="1">
        <v>153.5</v>
      </c>
      <c r="F47" s="1">
        <v>67.8</v>
      </c>
    </row>
    <row r="48">
      <c r="A48" s="1" t="s">
        <v>9</v>
      </c>
      <c r="B48" s="3">
        <v>45231.0</v>
      </c>
      <c r="C48" s="1">
        <v>428.0</v>
      </c>
      <c r="D48" s="1">
        <v>31.2</v>
      </c>
      <c r="E48" s="1">
        <v>48.2</v>
      </c>
      <c r="F48" s="1">
        <v>87.5</v>
      </c>
    </row>
    <row r="49">
      <c r="A49" s="1" t="s">
        <v>9</v>
      </c>
      <c r="B49" s="3">
        <v>45261.0</v>
      </c>
      <c r="C49" s="1">
        <v>325.0</v>
      </c>
      <c r="D49" s="1">
        <v>27.9</v>
      </c>
      <c r="E49" s="1">
        <v>155.8</v>
      </c>
      <c r="F49" s="1">
        <v>83.9</v>
      </c>
    </row>
    <row r="50">
      <c r="A50" s="1" t="s">
        <v>10</v>
      </c>
      <c r="B50" s="2">
        <v>44927.0</v>
      </c>
      <c r="C50" s="1">
        <v>479.0</v>
      </c>
      <c r="D50" s="1">
        <v>27.3</v>
      </c>
      <c r="E50" s="1">
        <v>331.2</v>
      </c>
      <c r="F50" s="1">
        <v>83.0</v>
      </c>
    </row>
    <row r="51">
      <c r="A51" s="1" t="s">
        <v>10</v>
      </c>
      <c r="B51" s="2">
        <v>44958.0</v>
      </c>
      <c r="C51" s="1">
        <v>377.0</v>
      </c>
      <c r="D51" s="1">
        <v>30.4</v>
      </c>
      <c r="E51" s="1">
        <v>333.4</v>
      </c>
      <c r="F51" s="1">
        <v>82.3</v>
      </c>
    </row>
    <row r="52">
      <c r="A52" s="1" t="s">
        <v>10</v>
      </c>
      <c r="B52" s="2">
        <v>44986.0</v>
      </c>
      <c r="C52" s="1">
        <v>526.0</v>
      </c>
      <c r="D52" s="1">
        <v>29.6</v>
      </c>
      <c r="E52" s="1">
        <v>234.4</v>
      </c>
      <c r="F52" s="1">
        <v>74.3</v>
      </c>
    </row>
    <row r="53">
      <c r="A53" s="1" t="s">
        <v>10</v>
      </c>
      <c r="B53" s="2">
        <v>45017.0</v>
      </c>
      <c r="C53" s="1">
        <v>443.0</v>
      </c>
      <c r="D53" s="1">
        <v>28.3</v>
      </c>
      <c r="E53" s="1">
        <v>253.2</v>
      </c>
      <c r="F53" s="1">
        <v>83.0</v>
      </c>
    </row>
    <row r="54">
      <c r="A54" s="1" t="s">
        <v>10</v>
      </c>
      <c r="B54" s="2">
        <v>45047.0</v>
      </c>
      <c r="C54" s="1">
        <v>303.0</v>
      </c>
      <c r="D54" s="1">
        <v>30.7</v>
      </c>
      <c r="E54" s="1">
        <v>263.0</v>
      </c>
      <c r="F54" s="1">
        <v>61.7</v>
      </c>
    </row>
    <row r="55">
      <c r="A55" s="1" t="s">
        <v>10</v>
      </c>
      <c r="B55" s="2">
        <v>45078.0</v>
      </c>
      <c r="C55" s="1">
        <v>595.0</v>
      </c>
      <c r="D55" s="1">
        <v>30.2</v>
      </c>
      <c r="E55" s="1">
        <v>171.1</v>
      </c>
      <c r="F55" s="1">
        <v>89.4</v>
      </c>
    </row>
    <row r="56">
      <c r="A56" s="1" t="s">
        <v>10</v>
      </c>
      <c r="B56" s="2">
        <v>45108.0</v>
      </c>
      <c r="C56" s="1">
        <v>181.0</v>
      </c>
      <c r="D56" s="1">
        <v>25.6</v>
      </c>
      <c r="E56" s="1">
        <v>334.2</v>
      </c>
      <c r="F56" s="1">
        <v>67.1</v>
      </c>
    </row>
    <row r="57">
      <c r="A57" s="1" t="s">
        <v>10</v>
      </c>
      <c r="B57" s="2">
        <v>45139.0</v>
      </c>
      <c r="C57" s="1">
        <v>491.0</v>
      </c>
      <c r="D57" s="1">
        <v>27.0</v>
      </c>
      <c r="E57" s="1">
        <v>334.2</v>
      </c>
      <c r="F57" s="1">
        <v>74.6</v>
      </c>
    </row>
    <row r="58">
      <c r="A58" s="1" t="s">
        <v>10</v>
      </c>
      <c r="B58" s="2">
        <v>45170.0</v>
      </c>
      <c r="C58" s="1">
        <v>588.0</v>
      </c>
      <c r="D58" s="1">
        <v>29.3</v>
      </c>
      <c r="E58" s="1">
        <v>254.3</v>
      </c>
      <c r="F58" s="1">
        <v>87.9</v>
      </c>
    </row>
    <row r="59">
      <c r="A59" s="1" t="s">
        <v>10</v>
      </c>
      <c r="B59" s="3">
        <v>45200.0</v>
      </c>
      <c r="C59" s="1">
        <v>567.0</v>
      </c>
      <c r="D59" s="1">
        <v>24.5</v>
      </c>
      <c r="E59" s="1">
        <v>326.4</v>
      </c>
      <c r="F59" s="1">
        <v>66.4</v>
      </c>
    </row>
    <row r="60">
      <c r="A60" s="1" t="s">
        <v>10</v>
      </c>
      <c r="B60" s="3">
        <v>45231.0</v>
      </c>
      <c r="C60" s="1">
        <v>550.0</v>
      </c>
      <c r="D60" s="1">
        <v>28.5</v>
      </c>
      <c r="E60" s="1">
        <v>348.1</v>
      </c>
      <c r="F60" s="1">
        <v>89.1</v>
      </c>
    </row>
    <row r="61">
      <c r="A61" s="1" t="s">
        <v>10</v>
      </c>
      <c r="B61" s="3">
        <v>45261.0</v>
      </c>
      <c r="C61" s="1">
        <v>585.0</v>
      </c>
      <c r="D61" s="1">
        <v>24.5</v>
      </c>
      <c r="E61" s="1">
        <v>193.1</v>
      </c>
      <c r="F61" s="1">
        <v>76.8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6.25"/>
    <col customWidth="1" min="3" max="3" width="26.13"/>
    <col customWidth="1" min="4" max="4" width="33.25"/>
    <col customWidth="1" min="5" max="5" width="23.88"/>
    <col customWidth="1" min="6" max="6" width="23.38"/>
    <col customWidth="1" min="8" max="8" width="19.75"/>
    <col customWidth="1" min="9" max="9" width="18.5"/>
  </cols>
  <sheetData>
    <row r="1" ht="30.0" customHeight="1">
      <c r="A1" s="4" t="s">
        <v>0</v>
      </c>
      <c r="B1" s="4" t="s">
        <v>1</v>
      </c>
      <c r="C1" s="4" t="s">
        <v>2</v>
      </c>
      <c r="D1" s="4" t="s">
        <v>3</v>
      </c>
      <c r="E1" s="4" t="s">
        <v>4</v>
      </c>
      <c r="F1" s="4" t="s">
        <v>5</v>
      </c>
    </row>
    <row r="2" ht="22.5" customHeight="1">
      <c r="A2" s="5" t="s">
        <v>8</v>
      </c>
      <c r="B2" s="6">
        <v>44927.0</v>
      </c>
      <c r="C2" s="7">
        <v>288.0</v>
      </c>
      <c r="D2" s="7">
        <v>30.7</v>
      </c>
      <c r="E2" s="7">
        <v>148.8</v>
      </c>
      <c r="F2" s="7">
        <v>83.0</v>
      </c>
    </row>
    <row r="3" ht="22.5" customHeight="1">
      <c r="A3" s="5" t="s">
        <v>8</v>
      </c>
      <c r="B3" s="6">
        <v>44958.0</v>
      </c>
      <c r="C3" s="7">
        <v>421.0</v>
      </c>
      <c r="D3" s="7">
        <v>26.7</v>
      </c>
      <c r="E3" s="7">
        <v>294.6</v>
      </c>
      <c r="F3" s="7">
        <v>69.4</v>
      </c>
      <c r="H3" s="8" t="s">
        <v>11</v>
      </c>
      <c r="I3" s="8" t="s">
        <v>12</v>
      </c>
    </row>
    <row r="4" ht="22.5" customHeight="1">
      <c r="A4" s="5" t="s">
        <v>8</v>
      </c>
      <c r="B4" s="6">
        <v>44986.0</v>
      </c>
      <c r="C4" s="7">
        <v>378.0</v>
      </c>
      <c r="D4" s="7">
        <v>29.5</v>
      </c>
      <c r="E4" s="7">
        <v>136.4</v>
      </c>
      <c r="F4" s="7">
        <v>74.3</v>
      </c>
      <c r="H4" s="5" t="s">
        <v>13</v>
      </c>
      <c r="I4" s="9">
        <f>CORREL(C2:C13, D2:D13)</f>
        <v>-0.4742479132</v>
      </c>
    </row>
    <row r="5" ht="22.5" customHeight="1">
      <c r="A5" s="5" t="s">
        <v>8</v>
      </c>
      <c r="B5" s="6">
        <v>45017.0</v>
      </c>
      <c r="C5" s="7">
        <v>585.0</v>
      </c>
      <c r="D5" s="7">
        <v>26.0</v>
      </c>
      <c r="E5" s="7">
        <v>55.3</v>
      </c>
      <c r="F5" s="7">
        <v>66.1</v>
      </c>
      <c r="H5" s="5" t="s">
        <v>14</v>
      </c>
      <c r="I5" s="9">
        <f>CORREL(C2:C13, E2:E13)</f>
        <v>-0.264892637</v>
      </c>
    </row>
    <row r="6" ht="22.5" customHeight="1">
      <c r="A6" s="5" t="s">
        <v>8</v>
      </c>
      <c r="B6" s="6">
        <v>45047.0</v>
      </c>
      <c r="C6" s="7">
        <v>501.0</v>
      </c>
      <c r="D6" s="7">
        <v>28.0</v>
      </c>
      <c r="E6" s="7">
        <v>297.3</v>
      </c>
      <c r="F6" s="7">
        <v>62.7</v>
      </c>
      <c r="H6" s="5" t="s">
        <v>15</v>
      </c>
      <c r="I6" s="9">
        <f>CORREL(C2:C13, F2:F13)</f>
        <v>0.08256365506</v>
      </c>
    </row>
    <row r="7" ht="22.5" customHeight="1">
      <c r="A7" s="5" t="s">
        <v>8</v>
      </c>
      <c r="B7" s="6">
        <v>45078.0</v>
      </c>
      <c r="C7" s="7">
        <v>584.0</v>
      </c>
      <c r="D7" s="7">
        <v>28.2</v>
      </c>
      <c r="E7" s="7">
        <v>64.4</v>
      </c>
      <c r="F7" s="7">
        <v>66.0</v>
      </c>
    </row>
    <row r="8" ht="22.5" customHeight="1">
      <c r="A8" s="5" t="s">
        <v>8</v>
      </c>
      <c r="B8" s="6">
        <v>45108.0</v>
      </c>
      <c r="C8" s="7">
        <v>568.0</v>
      </c>
      <c r="D8" s="7">
        <v>25.0</v>
      </c>
      <c r="E8" s="7">
        <v>181.0</v>
      </c>
      <c r="F8" s="7">
        <v>85.4</v>
      </c>
    </row>
    <row r="9" ht="22.5" customHeight="1">
      <c r="A9" s="5" t="s">
        <v>8</v>
      </c>
      <c r="B9" s="6">
        <v>45139.0</v>
      </c>
      <c r="C9" s="7">
        <v>592.0</v>
      </c>
      <c r="D9" s="7">
        <v>24.4</v>
      </c>
      <c r="E9" s="7">
        <v>229.2</v>
      </c>
      <c r="F9" s="7">
        <v>86.7</v>
      </c>
    </row>
    <row r="10" ht="22.5" customHeight="1">
      <c r="A10" s="5" t="s">
        <v>8</v>
      </c>
      <c r="B10" s="6">
        <v>45170.0</v>
      </c>
      <c r="C10" s="7">
        <v>547.0</v>
      </c>
      <c r="D10" s="7">
        <v>24.3</v>
      </c>
      <c r="E10" s="7">
        <v>127.4</v>
      </c>
      <c r="F10" s="7">
        <v>63.5</v>
      </c>
    </row>
    <row r="11" ht="22.5" customHeight="1">
      <c r="A11" s="5" t="s">
        <v>8</v>
      </c>
      <c r="B11" s="6">
        <v>45200.0</v>
      </c>
      <c r="C11" s="7">
        <v>322.0</v>
      </c>
      <c r="D11" s="7">
        <v>30.9</v>
      </c>
      <c r="E11" s="7">
        <v>260.3</v>
      </c>
      <c r="F11" s="7">
        <v>65.9</v>
      </c>
    </row>
    <row r="12" ht="22.5" customHeight="1">
      <c r="A12" s="5" t="s">
        <v>8</v>
      </c>
      <c r="B12" s="6">
        <v>45231.0</v>
      </c>
      <c r="C12" s="7">
        <v>334.0</v>
      </c>
      <c r="D12" s="7">
        <v>26.9</v>
      </c>
      <c r="E12" s="7">
        <v>163.3</v>
      </c>
      <c r="F12" s="7">
        <v>60.2</v>
      </c>
    </row>
    <row r="13" ht="22.5" customHeight="1">
      <c r="A13" s="5" t="s">
        <v>8</v>
      </c>
      <c r="B13" s="6">
        <v>45261.0</v>
      </c>
      <c r="C13" s="7">
        <v>189.0</v>
      </c>
      <c r="D13" s="7">
        <v>25.6</v>
      </c>
      <c r="E13" s="7">
        <v>197.7</v>
      </c>
      <c r="F13" s="7">
        <v>71.3</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6.25"/>
    <col customWidth="1" min="3" max="3" width="26.13"/>
    <col customWidth="1" min="4" max="4" width="33.25"/>
    <col customWidth="1" min="5" max="5" width="23.88"/>
    <col customWidth="1" min="6" max="6" width="23.38"/>
    <col customWidth="1" min="8" max="8" width="19.75"/>
    <col customWidth="1" min="9" max="9" width="18.5"/>
  </cols>
  <sheetData>
    <row r="1" ht="30.75" customHeight="1">
      <c r="A1" s="4" t="s">
        <v>0</v>
      </c>
      <c r="B1" s="4" t="s">
        <v>1</v>
      </c>
      <c r="C1" s="4" t="s">
        <v>2</v>
      </c>
      <c r="D1" s="4" t="s">
        <v>3</v>
      </c>
      <c r="E1" s="4" t="s">
        <v>4</v>
      </c>
      <c r="F1" s="4" t="s">
        <v>5</v>
      </c>
    </row>
    <row r="2" ht="22.5" customHeight="1">
      <c r="A2" s="5" t="s">
        <v>9</v>
      </c>
      <c r="B2" s="6">
        <v>44927.0</v>
      </c>
      <c r="C2" s="7">
        <v>269.0</v>
      </c>
      <c r="D2" s="7">
        <v>27.5</v>
      </c>
      <c r="E2" s="7">
        <v>280.6</v>
      </c>
      <c r="F2" s="7">
        <v>78.4</v>
      </c>
    </row>
    <row r="3" ht="22.5" customHeight="1">
      <c r="A3" s="5" t="s">
        <v>9</v>
      </c>
      <c r="B3" s="6">
        <v>44958.0</v>
      </c>
      <c r="C3" s="7">
        <v>324.0</v>
      </c>
      <c r="D3" s="7">
        <v>27.7</v>
      </c>
      <c r="E3" s="7">
        <v>332.8</v>
      </c>
      <c r="F3" s="7">
        <v>78.9</v>
      </c>
    </row>
    <row r="4" ht="22.5" customHeight="1">
      <c r="A4" s="5" t="s">
        <v>9</v>
      </c>
      <c r="B4" s="6">
        <v>44986.0</v>
      </c>
      <c r="C4" s="7">
        <v>349.0</v>
      </c>
      <c r="D4" s="7">
        <v>31.4</v>
      </c>
      <c r="E4" s="7">
        <v>192.0</v>
      </c>
      <c r="F4" s="7">
        <v>64.0</v>
      </c>
      <c r="H4" s="8" t="s">
        <v>11</v>
      </c>
      <c r="I4" s="8" t="s">
        <v>12</v>
      </c>
    </row>
    <row r="5" ht="22.5" customHeight="1">
      <c r="A5" s="5" t="s">
        <v>9</v>
      </c>
      <c r="B5" s="6">
        <v>45017.0</v>
      </c>
      <c r="C5" s="7">
        <v>371.0</v>
      </c>
      <c r="D5" s="7">
        <v>28.7</v>
      </c>
      <c r="E5" s="7">
        <v>61.6</v>
      </c>
      <c r="F5" s="7">
        <v>60.3</v>
      </c>
      <c r="H5" s="5" t="s">
        <v>13</v>
      </c>
      <c r="I5" s="5">
        <f>CORREL(C2:C13, D2:D13)</f>
        <v>0.7747883506</v>
      </c>
    </row>
    <row r="6" ht="22.5" customHeight="1">
      <c r="A6" s="5" t="s">
        <v>9</v>
      </c>
      <c r="B6" s="6">
        <v>45047.0</v>
      </c>
      <c r="C6" s="7">
        <v>347.0</v>
      </c>
      <c r="D6" s="7">
        <v>31.2</v>
      </c>
      <c r="E6" s="7">
        <v>277.0</v>
      </c>
      <c r="F6" s="7">
        <v>81.3</v>
      </c>
      <c r="H6" s="5" t="s">
        <v>14</v>
      </c>
      <c r="I6" s="5">
        <f>CORREL(C2:C13, E2:E13)</f>
        <v>-0.2199039674</v>
      </c>
    </row>
    <row r="7" ht="22.5" customHeight="1">
      <c r="A7" s="5" t="s">
        <v>9</v>
      </c>
      <c r="B7" s="6">
        <v>45078.0</v>
      </c>
      <c r="C7" s="7">
        <v>311.0</v>
      </c>
      <c r="D7" s="7">
        <v>26.4</v>
      </c>
      <c r="E7" s="7">
        <v>124.4</v>
      </c>
      <c r="F7" s="7">
        <v>81.9</v>
      </c>
      <c r="H7" s="5" t="s">
        <v>15</v>
      </c>
      <c r="I7" s="5">
        <f>CORREL(C2:C13, F2:F13)</f>
        <v>0.1683150789</v>
      </c>
    </row>
    <row r="8" ht="22.5" customHeight="1">
      <c r="A8" s="5" t="s">
        <v>9</v>
      </c>
      <c r="B8" s="6">
        <v>45108.0</v>
      </c>
      <c r="C8" s="7">
        <v>248.0</v>
      </c>
      <c r="D8" s="7">
        <v>26.0</v>
      </c>
      <c r="E8" s="7">
        <v>204.0</v>
      </c>
      <c r="F8" s="7">
        <v>63.0</v>
      </c>
    </row>
    <row r="9" ht="22.5" customHeight="1">
      <c r="A9" s="5" t="s">
        <v>9</v>
      </c>
      <c r="B9" s="6">
        <v>45139.0</v>
      </c>
      <c r="C9" s="7">
        <v>516.0</v>
      </c>
      <c r="D9" s="7">
        <v>30.2</v>
      </c>
      <c r="E9" s="7">
        <v>146.2</v>
      </c>
      <c r="F9" s="7">
        <v>69.6</v>
      </c>
    </row>
    <row r="10" ht="22.5" customHeight="1">
      <c r="A10" s="5" t="s">
        <v>9</v>
      </c>
      <c r="B10" s="6">
        <v>45170.0</v>
      </c>
      <c r="C10" s="7">
        <v>265.0</v>
      </c>
      <c r="D10" s="7">
        <v>24.3</v>
      </c>
      <c r="E10" s="7">
        <v>85.8</v>
      </c>
      <c r="F10" s="7">
        <v>71.1</v>
      </c>
    </row>
    <row r="11" ht="22.5" customHeight="1">
      <c r="A11" s="5" t="s">
        <v>9</v>
      </c>
      <c r="B11" s="6">
        <v>45200.0</v>
      </c>
      <c r="C11" s="7">
        <v>158.0</v>
      </c>
      <c r="D11" s="7">
        <v>24.3</v>
      </c>
      <c r="E11" s="7">
        <v>153.5</v>
      </c>
      <c r="F11" s="7">
        <v>67.8</v>
      </c>
    </row>
    <row r="12" ht="22.5" customHeight="1">
      <c r="A12" s="5" t="s">
        <v>9</v>
      </c>
      <c r="B12" s="6">
        <v>45231.0</v>
      </c>
      <c r="C12" s="7">
        <v>428.0</v>
      </c>
      <c r="D12" s="7">
        <v>31.2</v>
      </c>
      <c r="E12" s="7">
        <v>48.2</v>
      </c>
      <c r="F12" s="7">
        <v>87.5</v>
      </c>
    </row>
    <row r="13" ht="22.5" customHeight="1">
      <c r="A13" s="5" t="s">
        <v>9</v>
      </c>
      <c r="B13" s="6">
        <v>45261.0</v>
      </c>
      <c r="C13" s="7">
        <v>325.0</v>
      </c>
      <c r="D13" s="7">
        <v>27.9</v>
      </c>
      <c r="E13" s="7">
        <v>155.8</v>
      </c>
      <c r="F13" s="7">
        <v>83.9</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6.25"/>
    <col customWidth="1" min="3" max="3" width="26.13"/>
    <col customWidth="1" min="4" max="4" width="33.25"/>
    <col customWidth="1" min="5" max="5" width="23.88"/>
    <col customWidth="1" min="6" max="6" width="23.38"/>
    <col customWidth="1" min="8" max="8" width="21.0"/>
    <col customWidth="1" min="9" max="9" width="18.75"/>
  </cols>
  <sheetData>
    <row r="1" ht="35.25" customHeight="1">
      <c r="A1" s="4" t="s">
        <v>0</v>
      </c>
      <c r="B1" s="4" t="s">
        <v>1</v>
      </c>
      <c r="C1" s="4" t="s">
        <v>2</v>
      </c>
      <c r="D1" s="4" t="s">
        <v>3</v>
      </c>
      <c r="E1" s="4" t="s">
        <v>4</v>
      </c>
      <c r="F1" s="4" t="s">
        <v>5</v>
      </c>
    </row>
    <row r="2" ht="22.5" customHeight="1">
      <c r="A2" s="5" t="s">
        <v>10</v>
      </c>
      <c r="B2" s="6">
        <v>44927.0</v>
      </c>
      <c r="C2" s="7">
        <v>479.0</v>
      </c>
      <c r="D2" s="7">
        <v>27.3</v>
      </c>
      <c r="E2" s="7">
        <v>331.2</v>
      </c>
      <c r="F2" s="7">
        <v>83.0</v>
      </c>
    </row>
    <row r="3" ht="22.5" customHeight="1">
      <c r="A3" s="5" t="s">
        <v>10</v>
      </c>
      <c r="B3" s="6">
        <v>44958.0</v>
      </c>
      <c r="C3" s="7">
        <v>377.0</v>
      </c>
      <c r="D3" s="7">
        <v>30.4</v>
      </c>
      <c r="E3" s="7">
        <v>333.4</v>
      </c>
      <c r="F3" s="7">
        <v>82.3</v>
      </c>
    </row>
    <row r="4" ht="22.5" customHeight="1">
      <c r="A4" s="5" t="s">
        <v>10</v>
      </c>
      <c r="B4" s="6">
        <v>44986.0</v>
      </c>
      <c r="C4" s="7">
        <v>526.0</v>
      </c>
      <c r="D4" s="7">
        <v>29.6</v>
      </c>
      <c r="E4" s="7">
        <v>234.4</v>
      </c>
      <c r="F4" s="7">
        <v>74.3</v>
      </c>
    </row>
    <row r="5" ht="22.5" customHeight="1">
      <c r="A5" s="5" t="s">
        <v>10</v>
      </c>
      <c r="B5" s="6">
        <v>45017.0</v>
      </c>
      <c r="C5" s="7">
        <v>443.0</v>
      </c>
      <c r="D5" s="7">
        <v>28.3</v>
      </c>
      <c r="E5" s="7">
        <v>253.2</v>
      </c>
      <c r="F5" s="7">
        <v>83.0</v>
      </c>
      <c r="H5" s="8" t="s">
        <v>11</v>
      </c>
      <c r="I5" s="8" t="s">
        <v>12</v>
      </c>
    </row>
    <row r="6" ht="22.5" customHeight="1">
      <c r="A6" s="5" t="s">
        <v>10</v>
      </c>
      <c r="B6" s="6">
        <v>45047.0</v>
      </c>
      <c r="C6" s="7">
        <v>303.0</v>
      </c>
      <c r="D6" s="7">
        <v>30.7</v>
      </c>
      <c r="E6" s="7">
        <v>263.0</v>
      </c>
      <c r="F6" s="7">
        <v>61.7</v>
      </c>
      <c r="H6" s="5" t="s">
        <v>13</v>
      </c>
      <c r="I6" s="5">
        <f>CORREL(C2:C13, D2:D13)</f>
        <v>-0.06336087987</v>
      </c>
    </row>
    <row r="7" ht="22.5" customHeight="1">
      <c r="A7" s="5" t="s">
        <v>10</v>
      </c>
      <c r="B7" s="6">
        <v>45078.0</v>
      </c>
      <c r="C7" s="7">
        <v>595.0</v>
      </c>
      <c r="D7" s="7">
        <v>30.2</v>
      </c>
      <c r="E7" s="7">
        <v>171.1</v>
      </c>
      <c r="F7" s="7">
        <v>89.4</v>
      </c>
      <c r="H7" s="5" t="s">
        <v>14</v>
      </c>
      <c r="I7" s="5">
        <f>CORREL(C2:C13, E2:E13)</f>
        <v>-0.4002749477</v>
      </c>
    </row>
    <row r="8" ht="22.5" customHeight="1">
      <c r="A8" s="5" t="s">
        <v>10</v>
      </c>
      <c r="B8" s="6">
        <v>45108.0</v>
      </c>
      <c r="C8" s="7">
        <v>181.0</v>
      </c>
      <c r="D8" s="7">
        <v>25.6</v>
      </c>
      <c r="E8" s="7">
        <v>334.2</v>
      </c>
      <c r="F8" s="7">
        <v>67.1</v>
      </c>
      <c r="H8" s="5" t="s">
        <v>15</v>
      </c>
      <c r="I8" s="5">
        <f>CORREL(C2:C13, F2:F13)</f>
        <v>0.5511706633</v>
      </c>
    </row>
    <row r="9" ht="22.5" customHeight="1">
      <c r="A9" s="5" t="s">
        <v>10</v>
      </c>
      <c r="B9" s="6">
        <v>45139.0</v>
      </c>
      <c r="C9" s="7">
        <v>491.0</v>
      </c>
      <c r="D9" s="7">
        <v>27.0</v>
      </c>
      <c r="E9" s="7">
        <v>334.2</v>
      </c>
      <c r="F9" s="7">
        <v>74.6</v>
      </c>
    </row>
    <row r="10" ht="22.5" customHeight="1">
      <c r="A10" s="5" t="s">
        <v>10</v>
      </c>
      <c r="B10" s="6">
        <v>45170.0</v>
      </c>
      <c r="C10" s="7">
        <v>588.0</v>
      </c>
      <c r="D10" s="7">
        <v>29.3</v>
      </c>
      <c r="E10" s="7">
        <v>254.3</v>
      </c>
      <c r="F10" s="7">
        <v>87.9</v>
      </c>
    </row>
    <row r="11" ht="22.5" customHeight="1">
      <c r="A11" s="5" t="s">
        <v>10</v>
      </c>
      <c r="B11" s="6">
        <v>45200.0</v>
      </c>
      <c r="C11" s="7">
        <v>567.0</v>
      </c>
      <c r="D11" s="7">
        <v>24.5</v>
      </c>
      <c r="E11" s="7">
        <v>326.4</v>
      </c>
      <c r="F11" s="7">
        <v>66.4</v>
      </c>
    </row>
    <row r="12" ht="22.5" customHeight="1">
      <c r="A12" s="5" t="s">
        <v>10</v>
      </c>
      <c r="B12" s="6">
        <v>45231.0</v>
      </c>
      <c r="C12" s="7">
        <v>550.0</v>
      </c>
      <c r="D12" s="7">
        <v>28.5</v>
      </c>
      <c r="E12" s="7">
        <v>348.1</v>
      </c>
      <c r="F12" s="7">
        <v>89.1</v>
      </c>
    </row>
    <row r="13" ht="22.5" customHeight="1">
      <c r="A13" s="5" t="s">
        <v>10</v>
      </c>
      <c r="B13" s="6">
        <v>45261.0</v>
      </c>
      <c r="C13" s="7">
        <v>585.0</v>
      </c>
      <c r="D13" s="7">
        <v>24.5</v>
      </c>
      <c r="E13" s="7">
        <v>193.1</v>
      </c>
      <c r="F13" s="7">
        <v>76.8</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3.0"/>
    <col customWidth="1" min="3" max="3" width="22.88"/>
    <col customWidth="1" min="4" max="4" width="30.0"/>
    <col customWidth="1" min="5" max="5" width="20.63"/>
    <col customWidth="1" min="6" max="6" width="20.13"/>
    <col customWidth="1" min="8" max="8" width="21.63"/>
    <col customWidth="1" min="9" max="9" width="16.5"/>
  </cols>
  <sheetData>
    <row r="1" ht="46.5" customHeight="1">
      <c r="A1" s="4" t="s">
        <v>0</v>
      </c>
      <c r="B1" s="4" t="s">
        <v>1</v>
      </c>
      <c r="C1" s="4" t="s">
        <v>2</v>
      </c>
      <c r="D1" s="4" t="s">
        <v>3</v>
      </c>
      <c r="E1" s="4" t="s">
        <v>4</v>
      </c>
      <c r="F1" s="4" t="s">
        <v>5</v>
      </c>
    </row>
    <row r="2" ht="22.5" customHeight="1">
      <c r="A2" s="5" t="s">
        <v>7</v>
      </c>
      <c r="B2" s="6">
        <v>44927.0</v>
      </c>
      <c r="C2" s="5">
        <v>198.0</v>
      </c>
      <c r="D2" s="5">
        <v>28.8</v>
      </c>
      <c r="E2" s="5">
        <v>303.0</v>
      </c>
      <c r="F2" s="5">
        <v>83.9</v>
      </c>
    </row>
    <row r="3" ht="22.5" customHeight="1">
      <c r="A3" s="5" t="s">
        <v>7</v>
      </c>
      <c r="B3" s="6">
        <v>44958.0</v>
      </c>
      <c r="C3" s="5">
        <v>194.0</v>
      </c>
      <c r="D3" s="5">
        <v>27.8</v>
      </c>
      <c r="E3" s="5">
        <v>92.6</v>
      </c>
      <c r="F3" s="5">
        <v>77.8</v>
      </c>
    </row>
    <row r="4" ht="22.5" customHeight="1">
      <c r="A4" s="5" t="s">
        <v>7</v>
      </c>
      <c r="B4" s="6">
        <v>44986.0</v>
      </c>
      <c r="C4" s="5">
        <v>253.0</v>
      </c>
      <c r="D4" s="5">
        <v>24.2</v>
      </c>
      <c r="E4" s="5">
        <v>42.2</v>
      </c>
      <c r="F4" s="5">
        <v>63.0</v>
      </c>
    </row>
    <row r="5" ht="22.5" customHeight="1">
      <c r="A5" s="5" t="s">
        <v>7</v>
      </c>
      <c r="B5" s="6">
        <v>45017.0</v>
      </c>
      <c r="C5" s="5">
        <v>275.0</v>
      </c>
      <c r="D5" s="5">
        <v>31.5</v>
      </c>
      <c r="E5" s="5">
        <v>191.7</v>
      </c>
      <c r="F5" s="5">
        <v>72.1</v>
      </c>
      <c r="H5" s="8" t="s">
        <v>11</v>
      </c>
      <c r="I5" s="8" t="s">
        <v>12</v>
      </c>
    </row>
    <row r="6" ht="22.5" customHeight="1">
      <c r="A6" s="5" t="s">
        <v>7</v>
      </c>
      <c r="B6" s="6">
        <v>45047.0</v>
      </c>
      <c r="C6" s="5">
        <v>478.0</v>
      </c>
      <c r="D6" s="5">
        <v>31.9</v>
      </c>
      <c r="E6" s="5">
        <v>162.7</v>
      </c>
      <c r="F6" s="5">
        <v>81.1</v>
      </c>
      <c r="H6" s="5" t="s">
        <v>13</v>
      </c>
      <c r="I6" s="5">
        <f>CORREL(C2:C13, D2:D13)</f>
        <v>0.1104570947</v>
      </c>
    </row>
    <row r="7" ht="22.5" customHeight="1">
      <c r="A7" s="5" t="s">
        <v>7</v>
      </c>
      <c r="B7" s="6">
        <v>45078.0</v>
      </c>
      <c r="C7" s="5">
        <v>296.0</v>
      </c>
      <c r="D7" s="5">
        <v>31.5</v>
      </c>
      <c r="E7" s="5">
        <v>324.9</v>
      </c>
      <c r="F7" s="5">
        <v>82.9</v>
      </c>
      <c r="H7" s="5" t="s">
        <v>14</v>
      </c>
      <c r="I7" s="5">
        <f>CORREL(C2:C13, E2:E13)</f>
        <v>-0.05549221482</v>
      </c>
    </row>
    <row r="8" ht="22.5" customHeight="1">
      <c r="A8" s="5" t="s">
        <v>7</v>
      </c>
      <c r="B8" s="6">
        <v>45108.0</v>
      </c>
      <c r="C8" s="5">
        <v>396.0</v>
      </c>
      <c r="D8" s="5">
        <v>30.1</v>
      </c>
      <c r="E8" s="5">
        <v>38.7</v>
      </c>
      <c r="F8" s="5">
        <v>73.9</v>
      </c>
      <c r="H8" s="5" t="s">
        <v>15</v>
      </c>
      <c r="I8" s="5">
        <f>CORREL(C2:C13, F2:F13)</f>
        <v>0.1040010591</v>
      </c>
    </row>
    <row r="9" ht="22.5" customHeight="1">
      <c r="A9" s="5" t="s">
        <v>7</v>
      </c>
      <c r="B9" s="6">
        <v>45139.0</v>
      </c>
      <c r="C9" s="5">
        <v>592.0</v>
      </c>
      <c r="D9" s="5">
        <v>29.7</v>
      </c>
      <c r="E9" s="5">
        <v>235.7</v>
      </c>
      <c r="F9" s="5">
        <v>80.0</v>
      </c>
    </row>
    <row r="10" ht="22.5" customHeight="1">
      <c r="A10" s="5" t="s">
        <v>7</v>
      </c>
      <c r="B10" s="6">
        <v>45170.0</v>
      </c>
      <c r="C10" s="5">
        <v>284.0</v>
      </c>
      <c r="D10" s="5">
        <v>28.2</v>
      </c>
      <c r="E10" s="5">
        <v>103.8</v>
      </c>
      <c r="F10" s="5">
        <v>88.4</v>
      </c>
    </row>
    <row r="11" ht="22.5" customHeight="1">
      <c r="A11" s="5" t="s">
        <v>7</v>
      </c>
      <c r="B11" s="10">
        <v>45200.0</v>
      </c>
      <c r="C11" s="5">
        <v>360.0</v>
      </c>
      <c r="D11" s="5">
        <v>28.1</v>
      </c>
      <c r="E11" s="5">
        <v>255.6</v>
      </c>
      <c r="F11" s="5">
        <v>72.3</v>
      </c>
    </row>
    <row r="12" ht="22.5" customHeight="1">
      <c r="A12" s="5" t="s">
        <v>7</v>
      </c>
      <c r="B12" s="10">
        <v>45231.0</v>
      </c>
      <c r="C12" s="5">
        <v>184.0</v>
      </c>
      <c r="D12" s="5">
        <v>30.3</v>
      </c>
      <c r="E12" s="5">
        <v>348.4</v>
      </c>
      <c r="F12" s="5">
        <v>78.3</v>
      </c>
    </row>
    <row r="13" ht="22.5" customHeight="1">
      <c r="A13" s="5" t="s">
        <v>7</v>
      </c>
      <c r="B13" s="10">
        <v>45261.0</v>
      </c>
      <c r="C13" s="5">
        <v>504.0</v>
      </c>
      <c r="D13" s="5">
        <v>26.3</v>
      </c>
      <c r="E13" s="5">
        <v>222.8</v>
      </c>
      <c r="F13" s="5">
        <v>80.5</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6.0"/>
    <col customWidth="1" min="3" max="3" width="25.25"/>
    <col customWidth="1" min="4" max="4" width="31.88"/>
    <col customWidth="1" min="5" max="5" width="23.38"/>
    <col customWidth="1" min="6" max="6" width="22.5"/>
    <col customWidth="1" min="8" max="8" width="21.38"/>
    <col customWidth="1" min="9" max="9" width="17.63"/>
  </cols>
  <sheetData>
    <row r="1" ht="34.5" customHeight="1">
      <c r="A1" s="11" t="s">
        <v>0</v>
      </c>
      <c r="B1" s="11" t="s">
        <v>1</v>
      </c>
      <c r="C1" s="11" t="s">
        <v>2</v>
      </c>
      <c r="D1" s="11" t="s">
        <v>3</v>
      </c>
      <c r="E1" s="11" t="s">
        <v>4</v>
      </c>
      <c r="F1" s="11" t="s">
        <v>5</v>
      </c>
    </row>
    <row r="2" ht="22.5" customHeight="1">
      <c r="A2" s="5" t="s">
        <v>6</v>
      </c>
      <c r="B2" s="6">
        <v>44927.0</v>
      </c>
      <c r="C2" s="7">
        <v>429.0</v>
      </c>
      <c r="D2" s="7">
        <v>31.5</v>
      </c>
      <c r="E2" s="7">
        <v>247.0</v>
      </c>
      <c r="F2" s="7">
        <v>61.5</v>
      </c>
    </row>
    <row r="3" ht="22.5" customHeight="1">
      <c r="A3" s="5" t="s">
        <v>6</v>
      </c>
      <c r="B3" s="6">
        <v>44958.0</v>
      </c>
      <c r="C3" s="7">
        <v>594.0</v>
      </c>
      <c r="D3" s="7">
        <v>31.6</v>
      </c>
      <c r="E3" s="7">
        <v>307.8</v>
      </c>
      <c r="F3" s="7">
        <v>81.2</v>
      </c>
      <c r="H3" s="8" t="s">
        <v>11</v>
      </c>
      <c r="I3" s="8" t="s">
        <v>12</v>
      </c>
    </row>
    <row r="4" ht="22.5" customHeight="1">
      <c r="A4" s="5" t="s">
        <v>6</v>
      </c>
      <c r="B4" s="6">
        <v>44986.0</v>
      </c>
      <c r="C4" s="7">
        <v>209.0</v>
      </c>
      <c r="D4" s="7">
        <v>28.0</v>
      </c>
      <c r="E4" s="7">
        <v>333.3</v>
      </c>
      <c r="F4" s="7">
        <v>65.2</v>
      </c>
      <c r="H4" s="5" t="s">
        <v>13</v>
      </c>
      <c r="I4" s="9">
        <f>CORREL(C2:C13, D2:D13)</f>
        <v>-0.02155541365</v>
      </c>
    </row>
    <row r="5" ht="22.5" customHeight="1">
      <c r="A5" s="5" t="s">
        <v>6</v>
      </c>
      <c r="B5" s="6">
        <v>45017.0</v>
      </c>
      <c r="C5" s="7">
        <v>437.0</v>
      </c>
      <c r="D5" s="7">
        <v>24.2</v>
      </c>
      <c r="E5" s="7">
        <v>235.3</v>
      </c>
      <c r="F5" s="7">
        <v>87.6</v>
      </c>
      <c r="H5" s="5" t="s">
        <v>14</v>
      </c>
      <c r="I5" s="9">
        <f>CORREL(C2:C13, E2:E13)</f>
        <v>-0.004018376354</v>
      </c>
    </row>
    <row r="6" ht="22.5" customHeight="1">
      <c r="A6" s="5" t="s">
        <v>6</v>
      </c>
      <c r="B6" s="6">
        <v>45047.0</v>
      </c>
      <c r="C6" s="7">
        <v>242.0</v>
      </c>
      <c r="D6" s="7">
        <v>30.8</v>
      </c>
      <c r="E6" s="7">
        <v>241.5</v>
      </c>
      <c r="F6" s="7">
        <v>77.4</v>
      </c>
      <c r="H6" s="5" t="s">
        <v>15</v>
      </c>
      <c r="I6" s="9">
        <f>CORREL(C2:C13, F2:F13)</f>
        <v>0.460984201</v>
      </c>
    </row>
    <row r="7" ht="22.5" customHeight="1">
      <c r="A7" s="5" t="s">
        <v>6</v>
      </c>
      <c r="B7" s="6">
        <v>45078.0</v>
      </c>
      <c r="C7" s="7">
        <v>271.0</v>
      </c>
      <c r="D7" s="7">
        <v>30.3</v>
      </c>
      <c r="E7" s="7">
        <v>102.2</v>
      </c>
      <c r="F7" s="7">
        <v>72.3</v>
      </c>
    </row>
    <row r="8" ht="22.5" customHeight="1">
      <c r="A8" s="5" t="s">
        <v>6</v>
      </c>
      <c r="B8" s="6">
        <v>45108.0</v>
      </c>
      <c r="C8" s="7">
        <v>593.0</v>
      </c>
      <c r="D8" s="7">
        <v>26.4</v>
      </c>
      <c r="E8" s="7">
        <v>101.7</v>
      </c>
      <c r="F8" s="7">
        <v>87.1</v>
      </c>
    </row>
    <row r="9" ht="22.5" customHeight="1">
      <c r="A9" s="5" t="s">
        <v>6</v>
      </c>
      <c r="B9" s="6">
        <v>45139.0</v>
      </c>
      <c r="C9" s="7">
        <v>281.0</v>
      </c>
      <c r="D9" s="7">
        <v>29.1</v>
      </c>
      <c r="E9" s="7">
        <v>149.9</v>
      </c>
      <c r="F9" s="7">
        <v>65.7</v>
      </c>
    </row>
    <row r="10" ht="22.5" customHeight="1">
      <c r="A10" s="5" t="s">
        <v>6</v>
      </c>
      <c r="B10" s="6">
        <v>45170.0</v>
      </c>
      <c r="C10" s="7">
        <v>422.0</v>
      </c>
      <c r="D10" s="7">
        <v>31.5</v>
      </c>
      <c r="E10" s="7">
        <v>69.7</v>
      </c>
      <c r="F10" s="7">
        <v>72.1</v>
      </c>
    </row>
    <row r="11" ht="22.5" customHeight="1">
      <c r="A11" s="5" t="s">
        <v>6</v>
      </c>
      <c r="B11" s="6">
        <v>45200.0</v>
      </c>
      <c r="C11" s="7">
        <v>311.0</v>
      </c>
      <c r="D11" s="7">
        <v>28.3</v>
      </c>
      <c r="E11" s="7">
        <v>287.3</v>
      </c>
      <c r="F11" s="7">
        <v>64.2</v>
      </c>
    </row>
    <row r="12" ht="22.5" customHeight="1">
      <c r="A12" s="5" t="s">
        <v>6</v>
      </c>
      <c r="B12" s="6">
        <v>45231.0</v>
      </c>
      <c r="C12" s="7">
        <v>260.0</v>
      </c>
      <c r="D12" s="7">
        <v>28.3</v>
      </c>
      <c r="E12" s="7">
        <v>54.4</v>
      </c>
      <c r="F12" s="7">
        <v>85.0</v>
      </c>
    </row>
    <row r="13" ht="22.5" customHeight="1">
      <c r="A13" s="5" t="s">
        <v>6</v>
      </c>
      <c r="B13" s="6">
        <v>45261.0</v>
      </c>
      <c r="C13" s="7">
        <v>289.0</v>
      </c>
      <c r="D13" s="7">
        <v>28.3</v>
      </c>
      <c r="E13" s="7">
        <v>183.3</v>
      </c>
      <c r="F13" s="7">
        <v>68.5</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9.88"/>
    <col customWidth="1" min="3" max="3" width="18.63"/>
    <col customWidth="1" min="4" max="4" width="17.75"/>
    <col customWidth="1" min="7" max="7" width="14.75"/>
    <col customWidth="1" min="8" max="8" width="16.88"/>
    <col customWidth="1" min="9" max="9" width="18.63"/>
    <col customWidth="1" min="10" max="10" width="37.63"/>
  </cols>
  <sheetData>
    <row r="1">
      <c r="A1" s="12" t="s">
        <v>16</v>
      </c>
      <c r="F1" s="13" t="s">
        <v>17</v>
      </c>
    </row>
    <row r="2">
      <c r="H2" s="14"/>
    </row>
    <row r="3" ht="22.5" customHeight="1">
      <c r="A3" s="15" t="s">
        <v>18</v>
      </c>
      <c r="B3" s="15" t="s">
        <v>19</v>
      </c>
      <c r="C3" s="15" t="s">
        <v>20</v>
      </c>
      <c r="D3" s="15" t="s">
        <v>21</v>
      </c>
      <c r="F3" s="16" t="s">
        <v>18</v>
      </c>
      <c r="G3" s="16" t="s">
        <v>22</v>
      </c>
      <c r="H3" s="16" t="s">
        <v>23</v>
      </c>
      <c r="I3" s="16" t="s">
        <v>24</v>
      </c>
      <c r="J3" s="17" t="s">
        <v>25</v>
      </c>
      <c r="L3" s="18" t="s">
        <v>26</v>
      </c>
    </row>
    <row r="4" ht="22.5" customHeight="1">
      <c r="A4" s="19" t="s">
        <v>8</v>
      </c>
      <c r="B4" s="19">
        <f>Kogi!I4</f>
        <v>-0.4742479132</v>
      </c>
      <c r="C4" s="19">
        <f>Kogi!I5</f>
        <v>-0.264892637</v>
      </c>
      <c r="D4" s="19">
        <f>Kogi!I6</f>
        <v>0.08256365506</v>
      </c>
      <c r="F4" s="19" t="s">
        <v>8</v>
      </c>
      <c r="G4" s="19">
        <v>-0.474</v>
      </c>
      <c r="H4" s="19">
        <v>-0.265</v>
      </c>
      <c r="I4" s="19">
        <v>0.083</v>
      </c>
      <c r="J4" s="20" t="s">
        <v>27</v>
      </c>
      <c r="L4" s="1" t="s">
        <v>28</v>
      </c>
    </row>
    <row r="5" ht="22.5" customHeight="1">
      <c r="A5" s="19" t="s">
        <v>6</v>
      </c>
      <c r="B5" s="19">
        <f>FCT!I4</f>
        <v>-0.02155541365</v>
      </c>
      <c r="C5" s="19">
        <f>FCT!I5</f>
        <v>-0.004018376354</v>
      </c>
      <c r="D5" s="19">
        <f>FCT!I6</f>
        <v>0.460984201</v>
      </c>
      <c r="F5" s="19" t="s">
        <v>6</v>
      </c>
      <c r="G5" s="19">
        <v>-0.022</v>
      </c>
      <c r="H5" s="19">
        <v>-0.004</v>
      </c>
      <c r="I5" s="19">
        <v>0.461</v>
      </c>
      <c r="J5" s="20" t="s">
        <v>29</v>
      </c>
      <c r="K5" s="21"/>
      <c r="L5" s="1" t="s">
        <v>30</v>
      </c>
    </row>
    <row r="6" ht="22.5" customHeight="1">
      <c r="A6" s="19" t="s">
        <v>9</v>
      </c>
      <c r="B6" s="19">
        <f>Niger!I5</f>
        <v>0.7747883506</v>
      </c>
      <c r="C6" s="19">
        <f>Niger!I6</f>
        <v>-0.2199039674</v>
      </c>
      <c r="D6" s="19">
        <f>Niger!I7</f>
        <v>0.1683150789</v>
      </c>
      <c r="F6" s="19" t="s">
        <v>9</v>
      </c>
      <c r="G6" s="19">
        <v>0.775</v>
      </c>
      <c r="H6" s="19">
        <v>-0.22</v>
      </c>
      <c r="I6" s="19">
        <v>0.168</v>
      </c>
      <c r="J6" s="20" t="s">
        <v>31</v>
      </c>
      <c r="L6" s="1" t="s">
        <v>32</v>
      </c>
    </row>
    <row r="7" ht="22.5" customHeight="1">
      <c r="A7" s="19" t="s">
        <v>10</v>
      </c>
      <c r="B7" s="19">
        <f>Kaduna!I6</f>
        <v>-0.06336087987</v>
      </c>
      <c r="C7" s="19">
        <f>Kaduna!I7</f>
        <v>-0.4002749477</v>
      </c>
      <c r="D7" s="19">
        <f>Kaduna!I8</f>
        <v>0.5511706633</v>
      </c>
      <c r="F7" s="19" t="s">
        <v>10</v>
      </c>
      <c r="G7" s="19">
        <v>-0.064</v>
      </c>
      <c r="H7" s="19">
        <v>-0.4</v>
      </c>
      <c r="I7" s="19">
        <v>0.551</v>
      </c>
      <c r="J7" s="20" t="s">
        <v>33</v>
      </c>
    </row>
    <row r="8" ht="22.5" customHeight="1">
      <c r="A8" s="19" t="s">
        <v>7</v>
      </c>
      <c r="B8" s="19">
        <f>Nasarawa!I6</f>
        <v>0.1104570947</v>
      </c>
      <c r="C8" s="19">
        <f>Nasarawa!I7</f>
        <v>-0.05549221482</v>
      </c>
      <c r="D8" s="19">
        <f>Nasarawa!I8</f>
        <v>0.1040010591</v>
      </c>
      <c r="F8" s="19" t="s">
        <v>7</v>
      </c>
      <c r="G8" s="19">
        <v>0.11</v>
      </c>
      <c r="H8" s="19">
        <v>-0.055</v>
      </c>
      <c r="I8" s="19">
        <v>0.104</v>
      </c>
      <c r="J8" s="20" t="s">
        <v>34</v>
      </c>
    </row>
    <row r="31">
      <c r="B31" s="22"/>
      <c r="C31" s="23"/>
      <c r="D31" s="23"/>
      <c r="E31" s="23"/>
    </row>
    <row r="33">
      <c r="B33" s="24" t="s">
        <v>35</v>
      </c>
    </row>
    <row r="34">
      <c r="H34" s="25" t="s">
        <v>36</v>
      </c>
      <c r="M34" s="25" t="s">
        <v>37</v>
      </c>
      <c r="T34" s="24" t="s">
        <v>38</v>
      </c>
    </row>
  </sheetData>
  <mergeCells count="7">
    <mergeCell ref="A1:D2"/>
    <mergeCell ref="F1:J1"/>
    <mergeCell ref="L3:M3"/>
    <mergeCell ref="B33:F46"/>
    <mergeCell ref="H34:J36"/>
    <mergeCell ref="M34:P36"/>
    <mergeCell ref="T34:X38"/>
  </mergeCells>
  <conditionalFormatting sqref="G4:I8">
    <cfRule type="colorScale" priority="1">
      <colorScale>
        <cfvo type="formula" val="-0.474"/>
        <cfvo type="formula" val="0"/>
        <cfvo type="max"/>
        <color rgb="FFEA4335"/>
        <color rgb="FFFFFFFF"/>
        <color rgb="FF57BB8A"/>
      </colorScale>
    </cfRule>
  </conditionalFormatting>
  <drawing r:id="rId1"/>
  <tableParts count="2">
    <tablePart r:id="rId4"/>
    <tablePart r:id="rId5"/>
  </tableParts>
</worksheet>
</file>